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E08C435A-B502-402F-A078-84F6B7CD8AD0}" xr6:coauthVersionLast="47" xr6:coauthVersionMax="47" xr10:uidLastSave="{00000000-0000-0000-0000-000000000000}"/>
  <bookViews>
    <workbookView xWindow="28680" yWindow="-1245" windowWidth="29040" windowHeight="15720" xr2:uid="{DA3B9B60-24B7-4BFD-ACC9-70E661525564}"/>
  </bookViews>
  <sheets>
    <sheet name="Dia_19_Final.xlsx" sheetId="1" r:id="rId1"/>
    <sheet name="Análise_Pareto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<sst xmlns="http://schemas.openxmlformats.org/spreadsheetml/2006/main" count="63" uniqueCount="20">
  <si>
    <t>Data</t>
  </si>
  <si>
    <t>Vendedor</t>
  </si>
  <si>
    <t>Produto</t>
  </si>
  <si>
    <t>Categoria</t>
  </si>
  <si>
    <t>Valor</t>
  </si>
  <si>
    <t>Jéssica</t>
  </si>
  <si>
    <t>Notebook Dell</t>
  </si>
  <si>
    <t>Hardware</t>
  </si>
  <si>
    <t>Carlos</t>
  </si>
  <si>
    <t>Mouse Pad</t>
  </si>
  <si>
    <t>Acessórios</t>
  </si>
  <si>
    <t>Ana</t>
  </si>
  <si>
    <t>iPhone 15</t>
  </si>
  <si>
    <t>Cabo HDMI</t>
  </si>
  <si>
    <t>Capinha de Celular</t>
  </si>
  <si>
    <t>Teclado</t>
  </si>
  <si>
    <t>Periféricos</t>
  </si>
  <si>
    <t>Total Geral</t>
  </si>
  <si>
    <t>Faturamento (R$)</t>
  </si>
  <si>
    <t>Part.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</si>
</sst>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8" fontId="0" fillId="0" borderId="0" xfId="0" applyNumberFormat="1"/>
    <xf numFmtId="168" fontId="0" fillId="0" borderId="0" xfId="0" applyNumberFormat="1" applyAlignment="1">
      <alignment horizontal="center"/>
    </xf>
    <xf numFmtId="0" fontId="0" fillId="0" borderId="0" xfId="0" applyBorder="1"/>
    <xf numFmtId="14" fontId="2" fillId="0" borderId="2" xfId="0" applyNumberFormat="1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168" fontId="2" fillId="0" borderId="2" xfId="0" applyNumberFormat="1" applyFont="1" applyBorder="1" applyAlignment="1">
      <alignment horizontal="center" vertical="center" wrapText="1" readingOrder="1"/>
    </xf>
    <xf numFmtId="0" fontId="0" fillId="0" borderId="0" xfId="0" pivotButton="1"/>
    <xf numFmtId="9" fontId="0" fillId="0" borderId="0" xfId="1" applyFont="1"/>
    <xf numFmtId="9" fontId="0" fillId="0" borderId="0" xfId="1" applyFont="1" applyAlignment="1">
      <alignment horizontal="center"/>
    </xf>
    <xf numFmtId="9" fontId="0" fillId="0" borderId="0" xfId="0" applyNumberFormat="1"/>
    <xf numFmtId="168" fontId="3" fillId="2" borderId="2" xfId="0" applyNumberFormat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left" vertical="center" wrapText="1" indent="1" readingOrder="1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56">
    <dxf>
      <numFmt numFmtId="171" formatCode="0.0%"/>
    </dxf>
    <dxf>
      <numFmt numFmtId="14" formatCode="0.00%"/>
    </dxf>
    <dxf>
      <numFmt numFmtId="171" formatCode="0.0%"/>
    </dxf>
    <dxf>
      <numFmt numFmtId="14" formatCode="0.00%"/>
    </dxf>
    <dxf>
      <numFmt numFmtId="171" formatCode="0.0%"/>
    </dxf>
    <dxf>
      <numFmt numFmtId="14" formatCode="0.00%"/>
    </dxf>
    <dxf>
      <numFmt numFmtId="171" formatCode="0.0%"/>
    </dxf>
    <dxf>
      <numFmt numFmtId="14" formatCode="0.00%"/>
    </dxf>
    <dxf>
      <numFmt numFmtId="171" formatCode="0.0%"/>
    </dxf>
    <dxf>
      <numFmt numFmtId="14" formatCode="0.00%"/>
    </dxf>
    <dxf>
      <numFmt numFmtId="171" formatCode="0.0%"/>
    </dxf>
    <dxf>
      <numFmt numFmtId="14" formatCode="0.00%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215267</xdr:colOff>
      <xdr:row>1</xdr:row>
      <xdr:rowOff>133350</xdr:rowOff>
    </xdr:from>
    <xdr:ext cx="5404484" cy="12954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A8D209B-E0A9-16F1-1BF3-CD6857E30F51}"/>
            </a:ext>
          </a:extLst>
        </xdr:cNvPr>
        <xdr:cNvSpPr txBox="1"/>
      </xdr:nvSpPr>
      <xdr:spPr>
        <a:xfrm>
          <a:off x="215267" y="314325"/>
          <a:ext cx="5404484" cy="1295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pt-BR" sz="2000">
              <a:latin typeface="Arial Black" panose="020B0A04020102020204" pitchFamily="34" charset="0"/>
            </a:rPr>
            <a:t>ANÁLISE DE PARETO </a:t>
          </a:r>
        </a:p>
        <a:p>
          <a:pPr algn="l"/>
          <a:r>
            <a:rPr lang="pt-BR" sz="1400" b="1"/>
            <a:t>Metodologia:</a:t>
          </a:r>
          <a:r>
            <a:rPr lang="pt-BR" sz="1400"/>
            <a:t> </a:t>
          </a:r>
          <a:r>
            <a:rPr lang="pt-BR" sz="1400">
              <a:solidFill>
                <a:schemeClr val="tx2"/>
              </a:solidFill>
            </a:rPr>
            <a:t>Análise de participação de receita (Market Share) utilizando Tabela Dinâmica. Aplicado cálculo de "% do Total Geral" e ordenação decrescente para identificar os ofensores de faturamento.</a:t>
          </a:r>
          <a:endParaRPr lang="pt-BR" sz="1400">
            <a:solidFill>
              <a:schemeClr val="tx2"/>
            </a:solidFill>
            <a:latin typeface="Arial Black" panose="020B0A04020102020204" pitchFamily="34" charset="0"/>
          </a:endParaRPr>
        </a:p>
      </xdr:txBody>
    </xdr:sp>
    <xdr:clientData/>
  </xdr:oneCellAnchor>
  <xdr:oneCellAnchor>
    <xdr:from>
      <xdr:col>0</xdr:col>
      <xdr:colOff>312420</xdr:colOff>
      <xdr:row>18</xdr:row>
      <xdr:rowOff>64770</xdr:rowOff>
    </xdr:from>
    <xdr:ext cx="5274945" cy="702945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2B6D037-CC9A-42C5-A0E7-5023ED1880DE}"/>
            </a:ext>
          </a:extLst>
        </xdr:cNvPr>
        <xdr:cNvSpPr txBox="1"/>
      </xdr:nvSpPr>
      <xdr:spPr>
        <a:xfrm>
          <a:off x="312420" y="3322320"/>
          <a:ext cx="5274945" cy="702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b="1"/>
            <a:t>INSIGHT DE NEGÓCIO:</a:t>
          </a:r>
          <a:r>
            <a:rPr lang="pt-BR"/>
            <a:t> </a:t>
          </a:r>
          <a:r>
            <a:rPr lang="pt-BR">
              <a:solidFill>
                <a:schemeClr val="tx2"/>
              </a:solidFill>
            </a:rPr>
            <a:t>Concentração extrema de receita. Apenas 2 produtos (</a:t>
          </a:r>
          <a:r>
            <a:rPr lang="pt-BR" b="1">
              <a:solidFill>
                <a:schemeClr val="tx2"/>
              </a:solidFill>
            </a:rPr>
            <a:t>iPhone 15</a:t>
          </a:r>
          <a:r>
            <a:rPr lang="pt-BR">
              <a:solidFill>
                <a:schemeClr val="tx2"/>
              </a:solidFill>
            </a:rPr>
            <a:t> e </a:t>
          </a:r>
          <a:r>
            <a:rPr lang="pt-BR" b="1">
              <a:solidFill>
                <a:schemeClr val="tx2"/>
              </a:solidFill>
            </a:rPr>
            <a:t>Notebook Dell</a:t>
          </a:r>
          <a:r>
            <a:rPr lang="pt-BR">
              <a:solidFill>
                <a:schemeClr val="tx2"/>
              </a:solidFill>
            </a:rPr>
            <a:t>) são responsáveis por </a:t>
          </a:r>
          <a:r>
            <a:rPr lang="pt-BR" b="1">
              <a:solidFill>
                <a:schemeClr val="tx2"/>
              </a:solidFill>
            </a:rPr>
            <a:t>98,78%</a:t>
          </a:r>
          <a:r>
            <a:rPr lang="pt-BR">
              <a:solidFill>
                <a:schemeClr val="tx2"/>
              </a:solidFill>
            </a:rPr>
            <a:t> do faturamento total da loja. Os demais produtos (Acessórios/Periféricos), somados, representam menos de 1,5% do resultado.</a:t>
          </a:r>
          <a:endParaRPr lang="pt-BR" sz="1100">
            <a:solidFill>
              <a:schemeClr val="tx2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éssica Rocha" refreshedDate="46057.675022800926" createdVersion="8" refreshedVersion="8" minRefreshableVersion="3" recordCount="16" xr:uid="{54B2F72C-0CA9-4955-B7E5-DA372ECDC4A7}">
  <cacheSource type="worksheet">
    <worksheetSource ref="A1:E17" sheet="Dia_19_Final.xlsx"/>
  </cacheSource>
  <cacheFields count="5">
    <cacheField name="Data" numFmtId="14">
      <sharedItems containsSemiMixedTypes="0" containsNonDate="0" containsDate="1" containsString="0" minDate="2026-02-01T00:00:00" maxDate="2026-03-01T00:00:00"/>
    </cacheField>
    <cacheField name="Vendedor" numFmtId="0">
      <sharedItems/>
    </cacheField>
    <cacheField name="Produto" numFmtId="0">
      <sharedItems count="6">
        <s v="Notebook Dell"/>
        <s v="Mouse Pad"/>
        <s v="iPhone 15"/>
        <s v="Cabo HDMI"/>
        <s v="Capinha de Celular"/>
        <s v="Teclado"/>
      </sharedItems>
    </cacheField>
    <cacheField name="Categoria" numFmtId="0">
      <sharedItems/>
    </cacheField>
    <cacheField name="Valor" numFmtId="168">
      <sharedItems containsSemiMixedTypes="0" containsString="0" containsNumber="1" containsInteger="1" minValue="3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d v="2026-02-01T00:00:00"/>
    <s v="Jéssica"/>
    <x v="0"/>
    <s v="Hardware"/>
    <n v="4500"/>
  </r>
  <r>
    <d v="2026-02-02T00:00:00"/>
    <s v="Carlos"/>
    <x v="1"/>
    <s v="Acessórios"/>
    <n v="30"/>
  </r>
  <r>
    <d v="2026-02-03T00:00:00"/>
    <s v="Ana"/>
    <x v="2"/>
    <s v="Hardware"/>
    <n v="8000"/>
  </r>
  <r>
    <d v="2026-02-04T00:00:00"/>
    <s v="Carlos"/>
    <x v="3"/>
    <s v="Acessórios"/>
    <n v="50"/>
  </r>
  <r>
    <d v="2026-02-05T00:00:00"/>
    <s v="Jéssica"/>
    <x v="0"/>
    <s v="Hardware"/>
    <n v="4500"/>
  </r>
  <r>
    <d v="2026-02-06T00:00:00"/>
    <s v="Ana"/>
    <x v="4"/>
    <s v="Acessórios"/>
    <n v="80"/>
  </r>
  <r>
    <d v="2026-02-08T00:00:00"/>
    <s v="Carlos"/>
    <x v="0"/>
    <s v="Hardware"/>
    <n v="4500"/>
  </r>
  <r>
    <d v="2026-02-09T00:00:00"/>
    <s v="Jéssica"/>
    <x v="1"/>
    <s v="Acessórios"/>
    <n v="30"/>
  </r>
  <r>
    <d v="2026-02-10T00:00:00"/>
    <s v="Ana"/>
    <x v="2"/>
    <s v="Hardware"/>
    <n v="8000"/>
  </r>
  <r>
    <d v="2026-02-12T00:00:00"/>
    <s v="Carlos"/>
    <x v="5"/>
    <s v="Periféricos"/>
    <n v="150"/>
  </r>
  <r>
    <d v="2026-02-15T00:00:00"/>
    <s v="Jéssica"/>
    <x v="2"/>
    <s v="Hardware"/>
    <n v="8000"/>
  </r>
  <r>
    <d v="2026-02-18T00:00:00"/>
    <s v="Ana"/>
    <x v="3"/>
    <s v="Acessórios"/>
    <n v="50"/>
  </r>
  <r>
    <d v="2026-02-20T00:00:00"/>
    <s v="Carlos"/>
    <x v="0"/>
    <s v="Hardware"/>
    <n v="4500"/>
  </r>
  <r>
    <d v="2026-02-22T00:00:00"/>
    <s v="Jéssica"/>
    <x v="5"/>
    <s v="Periféricos"/>
    <n v="150"/>
  </r>
  <r>
    <d v="2026-02-25T00:00:00"/>
    <s v="Ana"/>
    <x v="2"/>
    <s v="Hardware"/>
    <n v="8000"/>
  </r>
  <r>
    <d v="2026-02-28T00:00:00"/>
    <s v="Carlos"/>
    <x v="4"/>
    <s v="Acessórios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B909A-1A64-4F29-8817-8E0DB05C14A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rowHeaderCaption="Produtos">
  <location ref="B10:D17" firstHeaderRow="0" firstDataRow="1" firstDataCol="1"/>
  <pivotFields count="5">
    <pivotField compact="0" numFmtId="14" outline="0" showAll="0"/>
    <pivotField compact="0" outline="0" showAll="0"/>
    <pivotField axis="axisRow" compact="0" outline="0" showAll="0" sortType="descending">
      <items count="7">
        <item x="3"/>
        <item x="4"/>
        <item x="2"/>
        <item x="1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dataField="1" compact="0" numFmtId="168" outline="0" showAll="0"/>
  </pivotFields>
  <rowFields count="1">
    <field x="2"/>
  </rowFields>
  <rowItems count="7">
    <i>
      <x v="2"/>
    </i>
    <i>
      <x v="4"/>
    </i>
    <i>
      <x v="5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aturamento (R$)" fld="4" baseField="2" baseItem="2" numFmtId="168"/>
    <dataField name="Part. %" fld="4" showDataAs="percentOfTotal" baseField="0" baseItem="0" numFmtId="10"/>
  </dataFields>
  <formats count="25">
    <format dxfId="55">
      <pivotArea collapsedLevelsAreSubtotals="1" fieldPosition="0">
        <references count="2">
          <reference field="4294967294" count="1" selected="0">
            <x v="0"/>
          </reference>
          <reference field="2" count="1">
            <x v="3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0"/>
          </reference>
          <reference field="2" count="1">
            <x v="1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0"/>
          </reference>
          <reference field="2" count="1">
            <x v="5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0"/>
          </reference>
          <reference field="2" count="1">
            <x v="4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0"/>
          </reference>
          <reference field="2" count="1">
            <x v="2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1"/>
          </reference>
          <reference field="2" count="1">
            <x v="4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1"/>
          </reference>
          <reference field="2" count="1">
            <x v="5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1"/>
          </reference>
          <reference field="2" count="1">
            <x v="3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1"/>
          </reference>
          <reference field="2" count="1">
            <x v="4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2" count="1">
            <x v="5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2" count="1">
            <x v="3"/>
          </reference>
        </references>
      </pivotArea>
    </format>
    <format dxfId="13">
      <pivotArea field="2" grandRow="1" outline="0" axis="axisRow" fieldPosition="0">
        <references count="1">
          <reference field="4294967294" count="1" selected="0">
            <x v="1"/>
          </reference>
        </references>
      </pivotArea>
    </format>
    <format dxfId="11">
      <pivotArea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format>
    <format dxfId="9">
      <pivotArea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7">
      <pivotArea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format>
    <format dxfId="5">
      <pivotArea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3">
      <pivotArea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">
      <pivotArea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format>
  </formats>
  <pivotTableStyleInfo name="PivotStyleMedium1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FB1C-A89F-4430-9EF2-E907FA86F893}">
  <sheetPr>
    <tabColor theme="1"/>
  </sheetPr>
  <dimension ref="A1:F22"/>
  <sheetViews>
    <sheetView tabSelected="1" workbookViewId="0">
      <selection activeCell="A24" sqref="A24"/>
    </sheetView>
  </sheetViews>
  <sheetFormatPr defaultRowHeight="14.4" x14ac:dyDescent="0.3"/>
  <cols>
    <col min="1" max="2" width="12.5546875" customWidth="1"/>
    <col min="3" max="3" width="20.88671875" customWidth="1"/>
    <col min="4" max="4" width="14.88671875" customWidth="1"/>
    <col min="5" max="5" width="18.33203125" customWidth="1"/>
  </cols>
  <sheetData>
    <row r="1" spans="1:6" x14ac:dyDescent="0.3">
      <c r="A1" s="13" t="s">
        <v>0</v>
      </c>
      <c r="B1" s="14" t="s">
        <v>1</v>
      </c>
      <c r="C1" s="13" t="s">
        <v>2</v>
      </c>
      <c r="D1" s="12" t="s">
        <v>3</v>
      </c>
      <c r="E1" s="11" t="s">
        <v>4</v>
      </c>
      <c r="F1" s="1"/>
    </row>
    <row r="2" spans="1:6" x14ac:dyDescent="0.3">
      <c r="A2" s="4">
        <v>46054</v>
      </c>
      <c r="B2" s="5" t="s">
        <v>5</v>
      </c>
      <c r="C2" s="5" t="s">
        <v>6</v>
      </c>
      <c r="D2" s="5" t="s">
        <v>7</v>
      </c>
      <c r="E2" s="6">
        <v>4500</v>
      </c>
      <c r="F2" s="1"/>
    </row>
    <row r="3" spans="1:6" x14ac:dyDescent="0.3">
      <c r="A3" s="4">
        <v>46055</v>
      </c>
      <c r="B3" s="5" t="s">
        <v>8</v>
      </c>
      <c r="C3" s="5" t="s">
        <v>9</v>
      </c>
      <c r="D3" s="5" t="s">
        <v>10</v>
      </c>
      <c r="E3" s="6">
        <v>30</v>
      </c>
      <c r="F3" s="1"/>
    </row>
    <row r="4" spans="1:6" x14ac:dyDescent="0.3">
      <c r="A4" s="4">
        <v>46056</v>
      </c>
      <c r="B4" s="5" t="s">
        <v>11</v>
      </c>
      <c r="C4" s="5" t="s">
        <v>12</v>
      </c>
      <c r="D4" s="5" t="s">
        <v>7</v>
      </c>
      <c r="E4" s="6">
        <v>8000</v>
      </c>
      <c r="F4" s="1"/>
    </row>
    <row r="5" spans="1:6" x14ac:dyDescent="0.3">
      <c r="A5" s="4">
        <v>46057</v>
      </c>
      <c r="B5" s="5" t="s">
        <v>8</v>
      </c>
      <c r="C5" s="5" t="s">
        <v>13</v>
      </c>
      <c r="D5" s="5" t="s">
        <v>10</v>
      </c>
      <c r="E5" s="6">
        <v>50</v>
      </c>
      <c r="F5" s="1"/>
    </row>
    <row r="6" spans="1:6" x14ac:dyDescent="0.3">
      <c r="A6" s="4">
        <v>46058</v>
      </c>
      <c r="B6" s="5" t="s">
        <v>5</v>
      </c>
      <c r="C6" s="5" t="s">
        <v>6</v>
      </c>
      <c r="D6" s="5" t="s">
        <v>7</v>
      </c>
      <c r="E6" s="6">
        <v>4500</v>
      </c>
      <c r="F6" s="1"/>
    </row>
    <row r="7" spans="1:6" x14ac:dyDescent="0.3">
      <c r="A7" s="4">
        <v>46059</v>
      </c>
      <c r="B7" s="5" t="s">
        <v>11</v>
      </c>
      <c r="C7" s="5" t="s">
        <v>14</v>
      </c>
      <c r="D7" s="5" t="s">
        <v>10</v>
      </c>
      <c r="E7" s="6">
        <v>80</v>
      </c>
      <c r="F7" s="1"/>
    </row>
    <row r="8" spans="1:6" x14ac:dyDescent="0.3">
      <c r="A8" s="4">
        <v>46061</v>
      </c>
      <c r="B8" s="5" t="s">
        <v>8</v>
      </c>
      <c r="C8" s="5" t="s">
        <v>6</v>
      </c>
      <c r="D8" s="5" t="s">
        <v>7</v>
      </c>
      <c r="E8" s="6">
        <v>4500</v>
      </c>
      <c r="F8" s="1"/>
    </row>
    <row r="9" spans="1:6" x14ac:dyDescent="0.3">
      <c r="A9" s="4">
        <v>46062</v>
      </c>
      <c r="B9" s="5" t="s">
        <v>5</v>
      </c>
      <c r="C9" s="5" t="s">
        <v>9</v>
      </c>
      <c r="D9" s="5" t="s">
        <v>10</v>
      </c>
      <c r="E9" s="6">
        <v>30</v>
      </c>
      <c r="F9" s="1"/>
    </row>
    <row r="10" spans="1:6" x14ac:dyDescent="0.3">
      <c r="A10" s="4">
        <v>46063</v>
      </c>
      <c r="B10" s="5" t="s">
        <v>11</v>
      </c>
      <c r="C10" s="5" t="s">
        <v>12</v>
      </c>
      <c r="D10" s="5" t="s">
        <v>7</v>
      </c>
      <c r="E10" s="6">
        <v>8000</v>
      </c>
      <c r="F10" s="1"/>
    </row>
    <row r="11" spans="1:6" x14ac:dyDescent="0.3">
      <c r="A11" s="4">
        <v>46065</v>
      </c>
      <c r="B11" s="5" t="s">
        <v>8</v>
      </c>
      <c r="C11" s="5" t="s">
        <v>15</v>
      </c>
      <c r="D11" s="5" t="s">
        <v>16</v>
      </c>
      <c r="E11" s="6">
        <v>150</v>
      </c>
      <c r="F11" s="1"/>
    </row>
    <row r="12" spans="1:6" x14ac:dyDescent="0.3">
      <c r="A12" s="4">
        <v>46068</v>
      </c>
      <c r="B12" s="5" t="s">
        <v>5</v>
      </c>
      <c r="C12" s="5" t="s">
        <v>12</v>
      </c>
      <c r="D12" s="5" t="s">
        <v>7</v>
      </c>
      <c r="E12" s="6">
        <v>8000</v>
      </c>
      <c r="F12" s="1"/>
    </row>
    <row r="13" spans="1:6" x14ac:dyDescent="0.3">
      <c r="A13" s="4">
        <v>46071</v>
      </c>
      <c r="B13" s="5" t="s">
        <v>11</v>
      </c>
      <c r="C13" s="5" t="s">
        <v>13</v>
      </c>
      <c r="D13" s="5" t="s">
        <v>10</v>
      </c>
      <c r="E13" s="6">
        <v>50</v>
      </c>
      <c r="F13" s="1"/>
    </row>
    <row r="14" spans="1:6" x14ac:dyDescent="0.3">
      <c r="A14" s="4">
        <v>46073</v>
      </c>
      <c r="B14" s="5" t="s">
        <v>8</v>
      </c>
      <c r="C14" s="5" t="s">
        <v>6</v>
      </c>
      <c r="D14" s="5" t="s">
        <v>7</v>
      </c>
      <c r="E14" s="6">
        <v>4500</v>
      </c>
      <c r="F14" s="1"/>
    </row>
    <row r="15" spans="1:6" x14ac:dyDescent="0.3">
      <c r="A15" s="4">
        <v>46075</v>
      </c>
      <c r="B15" s="5" t="s">
        <v>5</v>
      </c>
      <c r="C15" s="5" t="s">
        <v>15</v>
      </c>
      <c r="D15" s="5" t="s">
        <v>16</v>
      </c>
      <c r="E15" s="6">
        <v>150</v>
      </c>
      <c r="F15" s="1"/>
    </row>
    <row r="16" spans="1:6" x14ac:dyDescent="0.3">
      <c r="A16" s="4">
        <v>46078</v>
      </c>
      <c r="B16" s="5" t="s">
        <v>11</v>
      </c>
      <c r="C16" s="5" t="s">
        <v>12</v>
      </c>
      <c r="D16" s="5" t="s">
        <v>7</v>
      </c>
      <c r="E16" s="6">
        <v>8000</v>
      </c>
      <c r="F16" s="1"/>
    </row>
    <row r="17" spans="1:6" x14ac:dyDescent="0.3">
      <c r="A17" s="4">
        <v>46081</v>
      </c>
      <c r="B17" s="5" t="s">
        <v>8</v>
      </c>
      <c r="C17" s="5" t="s">
        <v>14</v>
      </c>
      <c r="D17" s="5" t="s">
        <v>10</v>
      </c>
      <c r="E17" s="6">
        <v>80</v>
      </c>
      <c r="F17" s="1"/>
    </row>
    <row r="18" spans="1:6" x14ac:dyDescent="0.3">
      <c r="E18" s="1"/>
      <c r="F18" s="1"/>
    </row>
    <row r="22" spans="1:6" x14ac:dyDescent="0.3">
      <c r="E22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C903-A48D-477A-9B61-5DE379C36CC6}">
  <sheetPr>
    <tabColor theme="1"/>
  </sheetPr>
  <dimension ref="B10:F38"/>
  <sheetViews>
    <sheetView showGridLines="0" workbookViewId="0">
      <selection activeCell="D36" sqref="D36"/>
    </sheetView>
  </sheetViews>
  <sheetFormatPr defaultRowHeight="14.4" x14ac:dyDescent="0.3"/>
  <cols>
    <col min="2" max="2" width="17.33203125" bestFit="1" customWidth="1"/>
    <col min="3" max="3" width="16.109375" bestFit="1" customWidth="1"/>
    <col min="4" max="4" width="8" bestFit="1" customWidth="1"/>
  </cols>
  <sheetData>
    <row r="10" spans="2:6" x14ac:dyDescent="0.3">
      <c r="B10" s="7" t="s">
        <v>2</v>
      </c>
      <c r="C10" t="s">
        <v>18</v>
      </c>
      <c r="D10" t="s">
        <v>19</v>
      </c>
    </row>
    <row r="11" spans="2:6" x14ac:dyDescent="0.3">
      <c r="B11" t="s">
        <v>12</v>
      </c>
      <c r="C11" s="2">
        <v>32000</v>
      </c>
      <c r="D11" s="15">
        <v>0.63216120110628216</v>
      </c>
    </row>
    <row r="12" spans="2:6" x14ac:dyDescent="0.3">
      <c r="B12" t="s">
        <v>6</v>
      </c>
      <c r="C12" s="2">
        <v>18000</v>
      </c>
      <c r="D12" s="15">
        <v>0.35559067562228369</v>
      </c>
      <c r="F12" s="8"/>
    </row>
    <row r="13" spans="2:6" x14ac:dyDescent="0.3">
      <c r="B13" t="s">
        <v>15</v>
      </c>
      <c r="C13" s="2">
        <v>300</v>
      </c>
      <c r="D13" s="15">
        <v>5.9265112603713943E-3</v>
      </c>
    </row>
    <row r="14" spans="2:6" x14ac:dyDescent="0.3">
      <c r="B14" t="s">
        <v>14</v>
      </c>
      <c r="C14" s="2">
        <v>160</v>
      </c>
      <c r="D14" s="15">
        <v>3.1608060055314103E-3</v>
      </c>
    </row>
    <row r="15" spans="2:6" x14ac:dyDescent="0.3">
      <c r="B15" t="s">
        <v>13</v>
      </c>
      <c r="C15" s="2">
        <v>100</v>
      </c>
      <c r="D15" s="15">
        <v>1.9755037534571317E-3</v>
      </c>
    </row>
    <row r="16" spans="2:6" x14ac:dyDescent="0.3">
      <c r="B16" t="s">
        <v>9</v>
      </c>
      <c r="C16" s="2">
        <v>60</v>
      </c>
      <c r="D16" s="15">
        <v>1.185302252074279E-3</v>
      </c>
    </row>
    <row r="17" spans="2:4" x14ac:dyDescent="0.3">
      <c r="B17" t="s">
        <v>17</v>
      </c>
      <c r="C17" s="1">
        <v>50620</v>
      </c>
      <c r="D17" s="10">
        <v>1</v>
      </c>
    </row>
    <row r="18" spans="2:4" x14ac:dyDescent="0.3">
      <c r="C18" s="1"/>
      <c r="D18" s="10"/>
    </row>
    <row r="38" spans="3:3" x14ac:dyDescent="0.3">
      <c r="C38" s="9"/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Dia_19_Final.xlsx</vt:lpstr>
      <vt:lpstr>Análise_Pareto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2026-02-04T19:07:03Z</dcterms:created>
  <dcterms:modified xsi:type="dcterms:W3CDTF">2026-02-04T19:38:53Z</dcterms:modified>
</cp:coreProperties>
</file>