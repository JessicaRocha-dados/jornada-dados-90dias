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C07CD168-B550-4468-91AD-0A3361E29A6D}" xr6:coauthVersionLast="47" xr6:coauthVersionMax="47" xr10:uidLastSave="{00000000-0000-0000-0000-000000000000}"/>
  <bookViews>
    <workbookView xWindow="-120" yWindow="-16320" windowWidth="29040" windowHeight="15720" xr2:uid="{C84C1178-A13E-4EFA-A35A-239EFB07D338}"/>
  </bookViews>
  <sheets>
    <sheet name="Cadastro" sheetId="1" r:id="rId1"/>
    <sheet name="Consul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4" i="2"/>
  <c r="D15" i="2"/>
  <c r="D16" i="2"/>
  <c r="D17" i="2"/>
  <c r="D18" i="2"/>
  <c r="C14" i="2"/>
  <c r="C15" i="2"/>
  <c r="C16" i="2"/>
  <c r="C17" i="2"/>
  <c r="C18" i="2"/>
  <c r="D11" i="2"/>
  <c r="D12" i="2"/>
  <c r="D9" i="2"/>
  <c r="D10" i="2"/>
  <c r="D8" i="2"/>
  <c r="C9" i="2"/>
  <c r="C10" i="2"/>
  <c r="C11" i="2"/>
  <c r="C12" i="2"/>
  <c r="C13" i="2"/>
  <c r="C8" i="2"/>
</calcChain>
</file>

<file path=xl/sharedStrings.xml><?xml version="1.0" encoding="utf-8"?>
<sst xmlns="http://schemas.openxmlformats.org/spreadsheetml/2006/main" count="12" uniqueCount="10">
  <si>
    <t xml:space="preserve">PRODUTO </t>
  </si>
  <si>
    <t>PREÇO</t>
  </si>
  <si>
    <t>CÓDIGO</t>
  </si>
  <si>
    <t>Teclado Gamer</t>
  </si>
  <si>
    <t>Mouse Sem Fio</t>
  </si>
  <si>
    <t>Cadeira Office</t>
  </si>
  <si>
    <t xml:space="preserve">Monitor  32 </t>
  </si>
  <si>
    <t>Monitor 24</t>
  </si>
  <si>
    <t>PRODUTO</t>
  </si>
  <si>
    <t>SISTEMA DE CONSULTA DE PREÇOS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</si>
</sst>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8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4" tint="-0.24997711111789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8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8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571499</xdr:colOff>
      <xdr:row>0</xdr:row>
      <xdr:rowOff>38101</xdr:rowOff>
    </xdr:from>
    <xdr:ext cx="5610225" cy="108196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785C956-A68B-41A6-A059-A77EFB7FFD9A}"/>
            </a:ext>
          </a:extLst>
        </xdr:cNvPr>
        <xdr:cNvSpPr txBox="1"/>
      </xdr:nvSpPr>
      <xdr:spPr>
        <a:xfrm>
          <a:off x="571499" y="38101"/>
          <a:ext cx="5610225" cy="10819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80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CADASTRO DE PRODUTOS</a:t>
          </a:r>
        </a:p>
        <a:p>
          <a:r>
            <a:rPr lang="pt-BR"/>
            <a:t>Esta é a base de dados oficial. Cadastre novos itens sequencialmente abaixo. NÃO deixe linhas em branco entre os produtos e NÃO altere a ordem das colunas (Código | Produto | Preço) para não quebrar as fórmulas de busca.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323851</xdr:rowOff>
    </xdr:from>
    <xdr:ext cx="4070986" cy="7848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5CB18C5-7870-5EDC-7327-A8ECFE120B62}"/>
            </a:ext>
          </a:extLst>
        </xdr:cNvPr>
        <xdr:cNvSpPr txBox="1"/>
      </xdr:nvSpPr>
      <xdr:spPr>
        <a:xfrm>
          <a:off x="638175" y="323851"/>
          <a:ext cx="4070986" cy="784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/>
            <a:t>Este painel automatiza a busca de produtos. Digite o código do item na coluna A para recuperar instantaneamente a Descrição e o Preço da base de dados. O sistema inclui validação automática contra erros.</a:t>
          </a:r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28EC-E1A4-4994-AB3D-25F2629FB10D}">
  <sheetPr>
    <tabColor rgb="FFC00000"/>
  </sheetPr>
  <dimension ref="B2:D12"/>
  <sheetViews>
    <sheetView showGridLines="0" tabSelected="1" workbookViewId="0">
      <selection activeCell="I21" sqref="I21"/>
    </sheetView>
  </sheetViews>
  <sheetFormatPr defaultRowHeight="14.4" x14ac:dyDescent="0.3"/>
  <cols>
    <col min="2" max="2" width="10.5546875" customWidth="1"/>
    <col min="3" max="3" width="14.44140625" customWidth="1"/>
    <col min="4" max="4" width="11.6640625" customWidth="1"/>
  </cols>
  <sheetData>
    <row r="2" spans="2:4" x14ac:dyDescent="0.3">
      <c r="B2" s="1"/>
      <c r="C2" s="1"/>
      <c r="D2" s="1"/>
    </row>
    <row r="7" spans="2:4" x14ac:dyDescent="0.3">
      <c r="B7" s="6" t="s">
        <v>2</v>
      </c>
      <c r="C7" s="6" t="s">
        <v>0</v>
      </c>
      <c r="D7" s="6" t="s">
        <v>1</v>
      </c>
    </row>
    <row r="8" spans="2:4" x14ac:dyDescent="0.3">
      <c r="B8" s="7">
        <v>101</v>
      </c>
      <c r="C8" s="5" t="s">
        <v>3</v>
      </c>
      <c r="D8" s="4">
        <v>150</v>
      </c>
    </row>
    <row r="9" spans="2:4" x14ac:dyDescent="0.3">
      <c r="B9" s="7">
        <v>102</v>
      </c>
      <c r="C9" s="5" t="s">
        <v>4</v>
      </c>
      <c r="D9" s="9">
        <v>80</v>
      </c>
    </row>
    <row r="10" spans="2:4" x14ac:dyDescent="0.3">
      <c r="B10" s="7">
        <v>103</v>
      </c>
      <c r="C10" s="5" t="s">
        <v>7</v>
      </c>
      <c r="D10" s="4">
        <v>900</v>
      </c>
    </row>
    <row r="11" spans="2:4" x14ac:dyDescent="0.3">
      <c r="B11" s="7">
        <v>104</v>
      </c>
      <c r="C11" s="5" t="s">
        <v>6</v>
      </c>
      <c r="D11" s="4">
        <v>1200</v>
      </c>
    </row>
    <row r="12" spans="2:4" x14ac:dyDescent="0.3">
      <c r="B12" s="7">
        <v>105</v>
      </c>
      <c r="C12" s="5" t="s">
        <v>5</v>
      </c>
      <c r="D12" s="4">
        <v>1500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663F-B90C-4224-AF98-B21785E44812}">
  <sheetPr>
    <tabColor theme="9"/>
  </sheetPr>
  <dimension ref="B1:D18"/>
  <sheetViews>
    <sheetView showGridLines="0" workbookViewId="0">
      <selection activeCell="G8" sqref="G8"/>
    </sheetView>
  </sheetViews>
  <sheetFormatPr defaultRowHeight="14.4" x14ac:dyDescent="0.3"/>
  <cols>
    <col min="2" max="2" width="9.33203125" customWidth="1"/>
    <col min="3" max="3" width="24.5546875" customWidth="1"/>
    <col min="4" max="4" width="12.77734375" customWidth="1"/>
  </cols>
  <sheetData>
    <row r="1" spans="2:4" ht="27.6" x14ac:dyDescent="0.65">
      <c r="B1" s="8" t="s">
        <v>9</v>
      </c>
      <c r="C1" s="1"/>
      <c r="D1" s="1"/>
    </row>
    <row r="2" spans="2:4" x14ac:dyDescent="0.3">
      <c r="B2" s="1"/>
      <c r="C2" s="1"/>
      <c r="D2" s="1"/>
    </row>
    <row r="7" spans="2:4" x14ac:dyDescent="0.3">
      <c r="B7" s="3" t="s">
        <v>2</v>
      </c>
      <c r="C7" s="3" t="s">
        <v>8</v>
      </c>
      <c r="D7" s="3" t="s">
        <v>1</v>
      </c>
    </row>
    <row r="8" spans="2:4" x14ac:dyDescent="0.3">
      <c r="B8" s="2">
        <v>100</v>
      </c>
      <c r="C8" s="5" t="str">
        <f>IFERROR(VLOOKUP(B13,Cadastro!B:D,2,0),"Produto não cadastrado")</f>
        <v>Cadeira Office</v>
      </c>
      <c r="D8" s="4">
        <f>IFERROR( VLOOKUP(B13, Cadastro!B:D, 3, 0), "" )</f>
        <v>1500</v>
      </c>
    </row>
    <row r="9" spans="2:4" x14ac:dyDescent="0.3">
      <c r="B9" s="2">
        <v>101</v>
      </c>
      <c r="C9" s="5" t="str">
        <f>IFERROR(VLOOKUP(B9,Cadastro!B:D,2,0),"Produto não cadastrado")</f>
        <v>Teclado Gamer</v>
      </c>
      <c r="D9" s="4">
        <f>IFERROR( VLOOKUP(B9, Cadastro!B:D, 3, 0), "" )</f>
        <v>150</v>
      </c>
    </row>
    <row r="10" spans="2:4" x14ac:dyDescent="0.3">
      <c r="B10" s="2">
        <v>102</v>
      </c>
      <c r="C10" s="5" t="str">
        <f>IFERROR(VLOOKUP(B10,Cadastro!B:D,2,0),"Produto não cadastrado")</f>
        <v>Mouse Sem Fio</v>
      </c>
      <c r="D10" s="4">
        <f>IFERROR( VLOOKUP(B10, Cadastro!B:D, 3, 0), "" )</f>
        <v>80</v>
      </c>
    </row>
    <row r="11" spans="2:4" x14ac:dyDescent="0.3">
      <c r="B11" s="2">
        <v>103</v>
      </c>
      <c r="C11" s="5" t="str">
        <f>IFERROR(VLOOKUP(B11,Cadastro!B:D,2,0),"Produto não cadastrado")</f>
        <v>Monitor 24</v>
      </c>
      <c r="D11" s="4">
        <f>IFERROR( VLOOKUP(B11, Cadastro!B:D, 3, 0), "" )</f>
        <v>900</v>
      </c>
    </row>
    <row r="12" spans="2:4" x14ac:dyDescent="0.3">
      <c r="B12" s="2">
        <v>104</v>
      </c>
      <c r="C12" s="5" t="str">
        <f>IFERROR(VLOOKUP(B12,Cadastro!B:D,2,0),"Produto não cadastrado")</f>
        <v xml:space="preserve">Monitor  32 </v>
      </c>
      <c r="D12" s="4">
        <f>IFERROR( VLOOKUP(B12, Cadastro!B:D, 3, 0), "" )</f>
        <v>1200</v>
      </c>
    </row>
    <row r="13" spans="2:4" x14ac:dyDescent="0.3">
      <c r="B13" s="2">
        <v>105</v>
      </c>
      <c r="C13" s="5" t="str">
        <f>IFERROR(VLOOKUP(#REF!,Cadastro!B:D,2,0),"Produto não cadastrado")</f>
        <v>Produto não cadastrado</v>
      </c>
      <c r="D13" s="4" t="str">
        <f>IFERROR( VLOOKUP(#REF!, Cadastro!B:D, 3, 0), "" )</f>
        <v/>
      </c>
    </row>
    <row r="14" spans="2:4" x14ac:dyDescent="0.3">
      <c r="B14" s="2">
        <v>106</v>
      </c>
      <c r="C14" s="5" t="str">
        <f>IFERROR(VLOOKUP(#REF!,Cadastro!B:D,2,0),"Produto não cadastrado")</f>
        <v>Produto não cadastrado</v>
      </c>
      <c r="D14" s="4" t="str">
        <f>IFERROR( VLOOKUP(#REF!, Cadastro!B:D, 3, 0), "" )</f>
        <v/>
      </c>
    </row>
    <row r="15" spans="2:4" x14ac:dyDescent="0.3">
      <c r="B15" s="2">
        <v>107</v>
      </c>
      <c r="C15" s="5" t="str">
        <f>IFERROR(VLOOKUP(#REF!,Cadastro!B:D,2,0),"Produto não cadastrado")</f>
        <v>Produto não cadastrado</v>
      </c>
      <c r="D15" s="4" t="str">
        <f>IFERROR( VLOOKUP(#REF!, Cadastro!B:D, 3, 0), "" )</f>
        <v/>
      </c>
    </row>
    <row r="16" spans="2:4" x14ac:dyDescent="0.3">
      <c r="B16" s="2">
        <v>108</v>
      </c>
      <c r="C16" s="5" t="str">
        <f>IFERROR(VLOOKUP(#REF!,Cadastro!B:D,2,0),"Produto não cadastrado")</f>
        <v>Produto não cadastrado</v>
      </c>
      <c r="D16" s="4" t="str">
        <f>IFERROR( VLOOKUP(#REF!, Cadastro!B:D, 3, 0), "" )</f>
        <v/>
      </c>
    </row>
    <row r="17" spans="2:4" x14ac:dyDescent="0.3">
      <c r="B17" s="2">
        <v>109</v>
      </c>
      <c r="C17" s="5" t="str">
        <f>IFERROR(VLOOKUP(#REF!,Cadastro!B:D,2,0),"Produto não cadastrado")</f>
        <v>Produto não cadastrado</v>
      </c>
      <c r="D17" s="4" t="str">
        <f>IFERROR( VLOOKUP(#REF!, Cadastro!B:D, 3, 0), "" )</f>
        <v/>
      </c>
    </row>
    <row r="18" spans="2:4" x14ac:dyDescent="0.3">
      <c r="B18" s="2">
        <v>110</v>
      </c>
      <c r="C18" s="5" t="str">
        <f>IFERROR(VLOOKUP(#REF!,Cadastro!B:D,2,0),"Produto não cadastrado")</f>
        <v>Produto não cadastrado</v>
      </c>
      <c r="D18" s="4" t="str">
        <f>IFERROR( VLOOKUP(#REF!, Cadastro!B:D, 3, 0), "" )</f>
        <v/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2026-01-28T19:29:31Z</dcterms:created>
  <dcterms:modified xsi:type="dcterms:W3CDTF">2026-01-28T20:29:41Z</dcterms:modified>
</cp:coreProperties>
</file>