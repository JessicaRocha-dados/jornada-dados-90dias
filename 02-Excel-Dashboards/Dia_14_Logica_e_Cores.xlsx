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44A43AFF-101C-4C28-9D84-AD61611DB2DF}" xr6:coauthVersionLast="47" xr6:coauthVersionMax="47" xr10:uidLastSave="{00000000-0000-0000-0000-000000000000}"/>
  <bookViews>
    <workbookView xWindow="-120" yWindow="-16320" windowWidth="29040" windowHeight="15720" xr2:uid="{E81E33C5-E627-44BE-B63C-63B09E8D52B8}"/>
  </bookViews>
  <sheets>
    <sheet name="Dia 14- Contro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</calcChain>
</file>

<file path=xl/sharedStrings.xml><?xml version="1.0" encoding="utf-8"?>
<sst xmlns="http://schemas.openxmlformats.org/spreadsheetml/2006/main" count="14" uniqueCount="13">
  <si>
    <t>Entrada</t>
  </si>
  <si>
    <t>Saída</t>
  </si>
  <si>
    <t>Total Horas</t>
  </si>
  <si>
    <t>Conta</t>
  </si>
  <si>
    <t>Vencimento</t>
  </si>
  <si>
    <t xml:space="preserve">Status </t>
  </si>
  <si>
    <t>Luz</t>
  </si>
  <si>
    <t>Internet</t>
  </si>
  <si>
    <t>Aluguel</t>
  </si>
  <si>
    <t>Cartão</t>
  </si>
  <si>
    <t>Pago</t>
  </si>
  <si>
    <t>Pendente</t>
  </si>
  <si>
    <t xml:space="preserve">Pendente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</si>
</sst>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1" xfId="0" applyFont="1" applyBorder="1" applyAlignment="1">
      <alignment horizontal="right"/>
    </xf>
    <xf numFmtId="14" fontId="0" fillId="0" borderId="1" xfId="0" applyNumberFormat="1" applyFont="1" applyBorder="1" applyAlignment="1">
      <alignment horizontal="right"/>
    </xf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C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323850</xdr:colOff>
      <xdr:row>25</xdr:row>
      <xdr:rowOff>91440</xdr:rowOff>
    </xdr:from>
    <xdr:ext cx="184731" cy="29123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B414E46-436F-F499-3BD5-B19FD62A46DB}"/>
            </a:ext>
          </a:extLst>
        </xdr:cNvPr>
        <xdr:cNvSpPr txBox="1"/>
      </xdr:nvSpPr>
      <xdr:spPr>
        <a:xfrm>
          <a:off x="7762875" y="2082165"/>
          <a:ext cx="184731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 b="1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1</xdr:col>
      <xdr:colOff>171450</xdr:colOff>
      <xdr:row>1</xdr:row>
      <xdr:rowOff>140970</xdr:rowOff>
    </xdr:from>
    <xdr:ext cx="2613660" cy="291234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AA4B2AA-A7D3-CE68-D2C2-5F1DDACF7EC7}"/>
            </a:ext>
          </a:extLst>
        </xdr:cNvPr>
        <xdr:cNvSpPr txBox="1"/>
      </xdr:nvSpPr>
      <xdr:spPr>
        <a:xfrm>
          <a:off x="171450" y="321945"/>
          <a:ext cx="261366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b="1">
              <a:latin typeface="Arial Black" panose="020B0A04020102020204" pitchFamily="34" charset="0"/>
            </a:rPr>
            <a:t>CONTROLE DE PONTO </a:t>
          </a:r>
          <a:r>
            <a:rPr lang="pt-BR" b="1"/>
            <a:t>(</a:t>
          </a:r>
          <a:r>
            <a:rPr lang="pt-BR" sz="1050" b="0">
              <a:latin typeface="Arial" panose="020B0604020202020204" pitchFamily="34" charset="0"/>
              <a:cs typeface="Arial" panose="020B0604020202020204" pitchFamily="34" charset="0"/>
            </a:rPr>
            <a:t>HORAS</a:t>
          </a:r>
          <a:r>
            <a:rPr lang="pt-BR" b="0">
              <a:latin typeface="Arial Black" panose="020B0A04020102020204" pitchFamily="34" charset="0"/>
            </a:rPr>
            <a:t>)</a:t>
          </a:r>
          <a:endParaRPr lang="pt-BR" sz="1100" b="0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6</xdr:col>
      <xdr:colOff>19050</xdr:colOff>
      <xdr:row>1</xdr:row>
      <xdr:rowOff>114300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1F8DA76-C3A1-128A-3EAF-54018B2FC9DB}"/>
            </a:ext>
          </a:extLst>
        </xdr:cNvPr>
        <xdr:cNvSpPr txBox="1"/>
      </xdr:nvSpPr>
      <xdr:spPr>
        <a:xfrm>
          <a:off x="3190875" y="29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5</xdr:col>
      <xdr:colOff>596265</xdr:colOff>
      <xdr:row>1</xdr:row>
      <xdr:rowOff>125730</xdr:rowOff>
    </xdr:from>
    <xdr:to>
      <xdr:col>9</xdr:col>
      <xdr:colOff>828674</xdr:colOff>
      <xdr:row>3</xdr:row>
      <xdr:rowOff>15240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C5221E9-1CB6-907C-5399-CFBC42AB881C}"/>
            </a:ext>
          </a:extLst>
        </xdr:cNvPr>
        <xdr:cNvSpPr txBox="1">
          <a:spLocks noChangeArrowheads="1"/>
        </xdr:cNvSpPr>
      </xdr:nvSpPr>
      <xdr:spPr bwMode="auto">
        <a:xfrm>
          <a:off x="3768090" y="306705"/>
          <a:ext cx="3147059" cy="2514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CONTROLE DE CONTAS</a:t>
          </a:r>
        </a:p>
      </xdr:txBody>
    </xdr:sp>
    <xdr:clientData/>
  </xdr:twoCellAnchor>
  <xdr:oneCellAnchor>
    <xdr:from>
      <xdr:col>1</xdr:col>
      <xdr:colOff>175260</xdr:colOff>
      <xdr:row>1</xdr:row>
      <xdr:rowOff>171450</xdr:rowOff>
    </xdr:from>
    <xdr:ext cx="2539366" cy="22479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DFE2D4B-B775-B48A-040B-387E85231A2C}"/>
            </a:ext>
          </a:extLst>
        </xdr:cNvPr>
        <xdr:cNvSpPr txBox="1"/>
      </xdr:nvSpPr>
      <xdr:spPr>
        <a:xfrm>
          <a:off x="784860" y="352425"/>
          <a:ext cx="2539366" cy="224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9526</xdr:colOff>
      <xdr:row>3</xdr:row>
      <xdr:rowOff>152400</xdr:rowOff>
    </xdr:from>
    <xdr:ext cx="2933700" cy="239077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CAC110F-457C-DBA8-D22B-AED972C17007}"/>
            </a:ext>
          </a:extLst>
        </xdr:cNvPr>
        <xdr:cNvSpPr txBox="1"/>
      </xdr:nvSpPr>
      <xdr:spPr>
        <a:xfrm>
          <a:off x="619126" y="695325"/>
          <a:ext cx="2933700" cy="2390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b="1"/>
            <a:t>O Problema:</a:t>
          </a:r>
          <a:r>
            <a:rPr lang="pt-BR"/>
            <a:t> O Excel zera o relógio à meia-noite. Ao calcular um turno noturno (ex: entra às 22h e sai às 06h), a conta simples Saída - Entrada gera um número negativo/erro.</a:t>
          </a:r>
        </a:p>
        <a:p>
          <a:r>
            <a:rPr lang="pt-BR" b="1"/>
            <a:t>A Solução:</a:t>
          </a:r>
          <a:r>
            <a:rPr lang="pt-BR"/>
            <a:t> Usamos a lógica booleana para compensar a virada do dia.</a:t>
          </a:r>
        </a:p>
        <a:p>
          <a:r>
            <a:rPr lang="pt-BR" b="1"/>
            <a:t>A Fórmula:</a:t>
          </a:r>
          <a:r>
            <a:rPr lang="pt-BR"/>
            <a:t> =(Saída - Entrada) + (Saída &lt; Entrada)</a:t>
          </a:r>
        </a:p>
        <a:p>
          <a:r>
            <a:rPr lang="pt-BR" b="1"/>
            <a:t>Como funciona:</a:t>
          </a:r>
          <a:r>
            <a:rPr lang="pt-BR"/>
            <a:t> O trecho (Saída &lt; Entrada) verifica se houve virada de noite. Se sim, retorna 1 (adiciona 24h ao cálculo), corrigindo o resultado automaticamente.</a:t>
          </a:r>
        </a:p>
        <a:p>
          <a:endParaRPr lang="pt-BR" sz="1100"/>
        </a:p>
      </xdr:txBody>
    </xdr:sp>
    <xdr:clientData/>
  </xdr:oneCellAnchor>
  <xdr:oneCellAnchor>
    <xdr:from>
      <xdr:col>6</xdr:col>
      <xdr:colOff>304800</xdr:colOff>
      <xdr:row>4</xdr:row>
      <xdr:rowOff>102870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7BBD1651-64EC-F948-E795-B95DE4A1C959}"/>
            </a:ext>
          </a:extLst>
        </xdr:cNvPr>
        <xdr:cNvSpPr txBox="1"/>
      </xdr:nvSpPr>
      <xdr:spPr>
        <a:xfrm>
          <a:off x="4086225" y="826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6</xdr:col>
      <xdr:colOff>0</xdr:colOff>
      <xdr:row>2</xdr:row>
      <xdr:rowOff>180974</xdr:rowOff>
    </xdr:from>
    <xdr:to>
      <xdr:col>9</xdr:col>
      <xdr:colOff>819150</xdr:colOff>
      <xdr:row>16</xdr:row>
      <xdr:rowOff>133349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896B56CD-82BD-0741-1995-7913ABD262A4}"/>
            </a:ext>
          </a:extLst>
        </xdr:cNvPr>
        <xdr:cNvSpPr txBox="1">
          <a:spLocks noChangeArrowheads="1"/>
        </xdr:cNvSpPr>
      </xdr:nvSpPr>
      <xdr:spPr bwMode="auto">
        <a:xfrm>
          <a:off x="3781425" y="542924"/>
          <a:ext cx="3124200" cy="2486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 Problema: </a:t>
          </a: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Precisávamos de um alerta visual que destacasse apenas contas críticas (Vencidas), mas ignorasse as que já foram pagas.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Solução: </a:t>
          </a: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Criamos uma regra de formatação baseada em fórmula lógica composta (E).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Regra: </a:t>
          </a: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=E( Vencimento &lt; HOJE() ; Status = "Pendente" )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Como funciona: </a:t>
          </a: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 Excel analisa duas colunas ao mesmo tempo. A célula só fica vermelha se ambas as condições forem verdadeiras: a data já passou E a conta ainda não foi paga.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BC7F-F0AB-4F50-B23E-B658B4DA0A26}">
  <dimension ref="B8:N32"/>
  <sheetViews>
    <sheetView showGridLines="0" tabSelected="1" workbookViewId="0">
      <selection activeCell="F28" sqref="F28"/>
    </sheetView>
  </sheetViews>
  <sheetFormatPr defaultRowHeight="14.4" x14ac:dyDescent="0.3"/>
  <cols>
    <col min="4" max="4" width="10.6640625" customWidth="1"/>
    <col min="7" max="7" width="10.88671875" customWidth="1"/>
    <col min="8" max="8" width="11.5546875" customWidth="1"/>
    <col min="9" max="9" width="11.21875" customWidth="1"/>
    <col min="10" max="11" width="12.109375" bestFit="1" customWidth="1"/>
  </cols>
  <sheetData>
    <row r="8" spans="12:12" x14ac:dyDescent="0.3">
      <c r="L8" s="5"/>
    </row>
    <row r="19" spans="2:14" x14ac:dyDescent="0.3">
      <c r="B19" s="4" t="s">
        <v>0</v>
      </c>
      <c r="C19" s="4" t="s">
        <v>1</v>
      </c>
      <c r="D19" s="4" t="s">
        <v>2</v>
      </c>
      <c r="G19" s="4" t="s">
        <v>3</v>
      </c>
      <c r="H19" s="4" t="s">
        <v>4</v>
      </c>
      <c r="I19" s="4" t="s">
        <v>5</v>
      </c>
      <c r="M19" s="5"/>
      <c r="N19" s="5"/>
    </row>
    <row r="20" spans="2:14" x14ac:dyDescent="0.3">
      <c r="B20" s="3">
        <v>0.375</v>
      </c>
      <c r="C20" s="3">
        <v>0.75</v>
      </c>
      <c r="D20" s="3">
        <f>C20-B20</f>
        <v>0.375</v>
      </c>
      <c r="G20" s="2" t="s">
        <v>6</v>
      </c>
      <c r="H20" s="7">
        <v>46032</v>
      </c>
      <c r="I20" s="6" t="s">
        <v>10</v>
      </c>
    </row>
    <row r="21" spans="2:14" x14ac:dyDescent="0.3">
      <c r="B21" s="3">
        <v>0.83333333333333337</v>
      </c>
      <c r="C21" s="3">
        <v>8.3333333333333329E-2</v>
      </c>
      <c r="D21" s="3">
        <f>(C21-B21)+(C21&lt;B21)</f>
        <v>0.25</v>
      </c>
      <c r="G21" s="2" t="s">
        <v>7</v>
      </c>
      <c r="H21" s="7">
        <v>46023</v>
      </c>
      <c r="I21" s="6" t="s">
        <v>11</v>
      </c>
    </row>
    <row r="22" spans="2:14" x14ac:dyDescent="0.3">
      <c r="B22" s="3">
        <v>0.91666666666666663</v>
      </c>
      <c r="C22" s="3">
        <v>0.25</v>
      </c>
      <c r="D22" s="3">
        <f>(C22-B22)+(C22&lt;B22)</f>
        <v>0.33333333333333337</v>
      </c>
      <c r="G22" s="2" t="s">
        <v>8</v>
      </c>
      <c r="H22" s="7">
        <v>46047</v>
      </c>
      <c r="I22" s="7" t="s">
        <v>11</v>
      </c>
    </row>
    <row r="23" spans="2:14" x14ac:dyDescent="0.3">
      <c r="G23" s="2" t="s">
        <v>9</v>
      </c>
      <c r="H23" s="7">
        <v>46068</v>
      </c>
      <c r="I23" s="7" t="s">
        <v>12</v>
      </c>
    </row>
    <row r="27" spans="2:14" x14ac:dyDescent="0.3">
      <c r="I27" s="1"/>
    </row>
    <row r="29" spans="2:14" x14ac:dyDescent="0.3">
      <c r="I29" s="5"/>
    </row>
    <row r="30" spans="2:14" x14ac:dyDescent="0.3">
      <c r="H30" s="5"/>
      <c r="I30" s="5"/>
    </row>
    <row r="32" spans="2:14" x14ac:dyDescent="0.3">
      <c r="L32" s="5"/>
    </row>
  </sheetData>
  <conditionalFormatting sqref="I21">
    <cfRule type="expression" dxfId="10" priority="6">
      <formula>AND(I18&lt;TODAY(), J18="Pendente")</formula>
    </cfRule>
  </conditionalFormatting>
  <conditionalFormatting sqref="H22:H23">
    <cfRule type="expression" dxfId="9" priority="4">
      <formula>AND(H19&lt;TODAY(), ISNUMBER(SEARCH("Pend", I19)))</formula>
    </cfRule>
  </conditionalFormatting>
  <conditionalFormatting sqref="H21:H23">
    <cfRule type="expression" dxfId="8" priority="3">
      <formula>AND(H21&lt;TODAY(), ISNUMBER(SEARCH("Pend", I21)))</formula>
    </cfRule>
  </conditionalFormatting>
  <conditionalFormatting sqref="H20">
    <cfRule type="expression" dxfId="7" priority="7">
      <formula>AND(H3&lt;TODAY(), ISNUMBER(SEARCH("Pend", I3)))</formula>
    </cfRule>
  </conditionalFormatting>
  <conditionalFormatting sqref="I22:I23">
    <cfRule type="expression" dxfId="6" priority="2">
      <formula>AND(I22&lt;TODAY(), ISNUMBER(SEARCH("Pend", J22)))</formula>
    </cfRule>
  </conditionalFormatting>
  <conditionalFormatting sqref="I20:I23">
    <cfRule type="containsText" dxfId="0" priority="1" operator="containsText" text="pago">
      <formula>NOT(ISERROR(SEARCH("pago",I20)))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14- 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2026-01-27T18:44:00Z</dcterms:created>
  <dcterms:modified xsi:type="dcterms:W3CDTF">2026-01-27T21:29:51Z</dcterms:modified>
</cp:coreProperties>
</file>