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5C6CF677-EAED-457B-8AF6-FF709A61CC34}" xr6:coauthVersionLast="47" xr6:coauthVersionMax="47" xr10:uidLastSave="{00000000-0000-0000-0000-000000000000}"/>
  <bookViews>
    <workbookView xWindow="-120" yWindow="-16320" windowWidth="29040" windowHeight="15720" xr2:uid="{7AA11E1B-855E-40EB-BD76-41A436060D0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E13" i="1"/>
  <c r="C13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3" i="1"/>
  <c r="D13" i="1" l="1"/>
  <c r="E3" i="1"/>
</calcChain>
</file>

<file path=xl/sharedStrings.xml><?xml version="1.0" encoding="utf-8"?>
<sst xmlns="http://schemas.openxmlformats.org/spreadsheetml/2006/main" count="19" uniqueCount="19">
  <si>
    <t>Produto</t>
  </si>
  <si>
    <t>Quantidade</t>
  </si>
  <si>
    <t>Valor Unitário</t>
  </si>
  <si>
    <t>Caderno Capa Dura</t>
  </si>
  <si>
    <t>Caneta Azul</t>
  </si>
  <si>
    <t>Lápis Preto</t>
  </si>
  <si>
    <t>Borracha Branca</t>
  </si>
  <si>
    <t>Mochila Escolar</t>
  </si>
  <si>
    <t>Régua 30cm</t>
  </si>
  <si>
    <t>Marca-Texto Amarelo</t>
  </si>
  <si>
    <t>Cola Branca</t>
  </si>
  <si>
    <t>Tesoura sem Ponta</t>
  </si>
  <si>
    <t>Agenda 2026</t>
  </si>
  <si>
    <t>Total</t>
  </si>
  <si>
    <t>TOTAIS GERAIS</t>
  </si>
  <si>
    <t>Imposto:</t>
  </si>
  <si>
    <t>Valor Imposto</t>
  </si>
  <si>
    <t xml:space="preserve">ITEM MAIS CARO </t>
  </si>
  <si>
    <t>RELATÓRIO DE ESTOQUE - PAPELARIA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</si>
</sst>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9" formatCode="&quot;R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Arial"/>
      <family val="2"/>
    </font>
    <font>
      <sz val="11"/>
      <name val="Calibri"/>
      <family val="2"/>
      <scheme val="minor"/>
    </font>
    <font>
      <sz val="22"/>
      <color theme="0"/>
      <name val="Arial"/>
      <family val="2"/>
    </font>
    <font>
      <sz val="2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 vertical="center" wrapText="1" indent="1" readingOrder="1"/>
    </xf>
    <xf numFmtId="169" fontId="3" fillId="0" borderId="1" xfId="1" applyNumberFormat="1" applyFont="1" applyBorder="1" applyAlignment="1">
      <alignment vertical="center" wrapText="1" readingOrder="1"/>
    </xf>
    <xf numFmtId="44" fontId="0" fillId="0" borderId="1" xfId="0" applyNumberFormat="1" applyBorder="1"/>
    <xf numFmtId="0" fontId="0" fillId="0" borderId="2" xfId="0" applyBorder="1"/>
    <xf numFmtId="0" fontId="0" fillId="0" borderId="0" xfId="0" applyBorder="1"/>
    <xf numFmtId="0" fontId="5" fillId="2" borderId="2" xfId="0" applyFont="1" applyFill="1" applyBorder="1" applyAlignment="1">
      <alignment horizontal="center" vertical="center" wrapText="1" readingOrder="1"/>
    </xf>
    <xf numFmtId="44" fontId="0" fillId="0" borderId="1" xfId="1" applyFont="1" applyBorder="1"/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5" fillId="2" borderId="1" xfId="0" applyFont="1" applyFill="1" applyBorder="1" applyAlignment="1">
      <alignment horizontal="center"/>
    </xf>
    <xf numFmtId="169" fontId="5" fillId="2" borderId="7" xfId="1" applyNumberFormat="1" applyFont="1" applyFill="1" applyBorder="1" applyAlignment="1">
      <alignment horizontal="center" vertical="center" wrapText="1" readingOrder="1"/>
    </xf>
    <xf numFmtId="0" fontId="13" fillId="2" borderId="0" xfId="0" applyFont="1" applyFill="1" applyAlignment="1"/>
    <xf numFmtId="0" fontId="14" fillId="0" borderId="0" xfId="0" applyFont="1" applyAlignment="1"/>
    <xf numFmtId="169" fontId="3" fillId="0" borderId="2" xfId="1" applyNumberFormat="1" applyFont="1" applyBorder="1" applyAlignment="1">
      <alignment vertical="center" wrapText="1" readingOrder="1"/>
    </xf>
    <xf numFmtId="44" fontId="0" fillId="0" borderId="2" xfId="1" applyFont="1" applyBorder="1"/>
    <xf numFmtId="44" fontId="0" fillId="0" borderId="2" xfId="0" applyNumberFormat="1" applyBorder="1"/>
    <xf numFmtId="0" fontId="6" fillId="0" borderId="0" xfId="0" applyFont="1" applyBorder="1"/>
    <xf numFmtId="9" fontId="9" fillId="3" borderId="4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 readingOrder="1"/>
    </xf>
    <xf numFmtId="44" fontId="7" fillId="4" borderId="6" xfId="0" applyNumberFormat="1" applyFont="1" applyFill="1" applyBorder="1"/>
    <xf numFmtId="44" fontId="12" fillId="4" borderId="1" xfId="0" applyNumberFormat="1" applyFont="1" applyFill="1" applyBorder="1"/>
    <xf numFmtId="0" fontId="0" fillId="0" borderId="0" xfId="0" applyBorder="1" applyAlignment="1">
      <alignment horizontal="center"/>
    </xf>
    <xf numFmtId="0" fontId="2" fillId="5" borderId="5" xfId="0" applyFont="1" applyFill="1" applyBorder="1" applyAlignment="1">
      <alignment horizontal="left" vertical="top"/>
    </xf>
    <xf numFmtId="44" fontId="12" fillId="5" borderId="5" xfId="0" applyNumberFormat="1" applyFont="1" applyFill="1" applyBorder="1"/>
    <xf numFmtId="0" fontId="2" fillId="5" borderId="1" xfId="0" applyFont="1" applyFill="1" applyBorder="1" applyAlignment="1">
      <alignment horizontal="left" vertical="top"/>
    </xf>
    <xf numFmtId="44" fontId="12" fillId="5" borderId="1" xfId="0" applyNumberFormat="1" applyFont="1" applyFill="1" applyBorder="1"/>
    <xf numFmtId="0" fontId="2" fillId="4" borderId="1" xfId="0" applyFont="1" applyFill="1" applyBorder="1" applyAlignment="1">
      <alignment horizontal="center" vertical="top"/>
    </xf>
    <xf numFmtId="169" fontId="7" fillId="4" borderId="1" xfId="0" applyNumberFormat="1" applyFont="1" applyFill="1" applyBorder="1" applyAlignment="1">
      <alignment horizontal="center"/>
    </xf>
    <xf numFmtId="44" fontId="7" fillId="4" borderId="1" xfId="0" applyNumberFormat="1" applyFont="1" applyFill="1" applyBorder="1"/>
    <xf numFmtId="0" fontId="10" fillId="4" borderId="1" xfId="0" applyFont="1" applyFill="1" applyBorder="1" applyAlignment="1">
      <alignment horizontal="center"/>
    </xf>
    <xf numFmtId="169" fontId="8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left" wrapText="1" indent="1" readingOrder="1"/>
    </xf>
    <xf numFmtId="0" fontId="0" fillId="0" borderId="0" xfId="0" applyAlignment="1"/>
    <xf numFmtId="0" fontId="7" fillId="4" borderId="4" xfId="0" applyFont="1" applyFill="1" applyBorder="1" applyAlignment="1"/>
    <xf numFmtId="0" fontId="8" fillId="4" borderId="4" xfId="0" applyFont="1" applyFill="1" applyBorder="1" applyAlignment="1">
      <alignment readingOrder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C5DD-5301-48F3-8F4E-592B76881485}">
  <dimension ref="A1:K20"/>
  <sheetViews>
    <sheetView tabSelected="1" workbookViewId="0">
      <selection activeCell="D20" sqref="D20"/>
    </sheetView>
  </sheetViews>
  <sheetFormatPr defaultRowHeight="14.4" x14ac:dyDescent="0.3"/>
  <cols>
    <col min="1" max="1" width="11.44140625" customWidth="1"/>
    <col min="2" max="2" width="14.6640625" customWidth="1"/>
    <col min="3" max="3" width="13.88671875" customWidth="1"/>
    <col min="4" max="4" width="18.109375" customWidth="1"/>
    <col min="5" max="5" width="17.33203125" customWidth="1"/>
    <col min="6" max="6" width="18.109375" customWidth="1"/>
  </cols>
  <sheetData>
    <row r="1" spans="1:11" ht="27.6" x14ac:dyDescent="0.45">
      <c r="A1" s="15" t="s">
        <v>18</v>
      </c>
      <c r="B1" s="15"/>
      <c r="C1" s="15"/>
      <c r="D1" s="15"/>
      <c r="E1" s="15"/>
      <c r="F1" s="15"/>
      <c r="G1" s="15"/>
      <c r="H1" s="16"/>
    </row>
    <row r="2" spans="1:11" ht="27.6" x14ac:dyDescent="0.3">
      <c r="A2" s="7" t="s">
        <v>0</v>
      </c>
      <c r="B2" s="7" t="s">
        <v>1</v>
      </c>
      <c r="C2" s="14" t="s">
        <v>2</v>
      </c>
      <c r="D2" s="13" t="s">
        <v>13</v>
      </c>
      <c r="E2" s="13" t="s">
        <v>16</v>
      </c>
      <c r="F2" s="13" t="s">
        <v>15</v>
      </c>
      <c r="G2" s="21">
        <v>0.1</v>
      </c>
      <c r="H2" s="6"/>
      <c r="I2" s="6"/>
    </row>
    <row r="3" spans="1:11" ht="41.4" x14ac:dyDescent="0.3">
      <c r="A3" s="2" t="s">
        <v>3</v>
      </c>
      <c r="B3" s="2">
        <v>20</v>
      </c>
      <c r="C3" s="3">
        <v>25.9</v>
      </c>
      <c r="D3" s="8">
        <f>B3*C3</f>
        <v>518</v>
      </c>
      <c r="E3" s="4">
        <f>D3*$G$2</f>
        <v>51.800000000000004</v>
      </c>
      <c r="F3" s="9"/>
      <c r="G3" s="1"/>
      <c r="H3" s="6"/>
      <c r="I3" s="6"/>
    </row>
    <row r="4" spans="1:11" ht="27.6" x14ac:dyDescent="0.3">
      <c r="A4" s="2" t="s">
        <v>4</v>
      </c>
      <c r="B4" s="2">
        <v>50</v>
      </c>
      <c r="C4" s="3">
        <v>2.5</v>
      </c>
      <c r="D4" s="8">
        <f t="shared" ref="D4:D12" si="0">B4*C4</f>
        <v>125</v>
      </c>
      <c r="E4" s="4">
        <f>D4*$G$2</f>
        <v>12.5</v>
      </c>
      <c r="F4" s="9"/>
      <c r="G4" s="1"/>
      <c r="H4" s="6"/>
      <c r="I4" s="6"/>
    </row>
    <row r="5" spans="1:11" ht="27.6" x14ac:dyDescent="0.3">
      <c r="A5" s="2" t="s">
        <v>5</v>
      </c>
      <c r="B5" s="2">
        <v>100</v>
      </c>
      <c r="C5" s="3">
        <v>1.2</v>
      </c>
      <c r="D5" s="8">
        <f t="shared" si="0"/>
        <v>120</v>
      </c>
      <c r="E5" s="4">
        <f>D5*$G$2</f>
        <v>12</v>
      </c>
      <c r="F5" s="9"/>
      <c r="G5" s="1"/>
      <c r="H5" s="6"/>
      <c r="I5" s="6"/>
    </row>
    <row r="6" spans="1:11" ht="27.6" x14ac:dyDescent="0.3">
      <c r="A6" s="2" t="s">
        <v>6</v>
      </c>
      <c r="B6" s="2">
        <v>30</v>
      </c>
      <c r="C6" s="3">
        <v>3.5</v>
      </c>
      <c r="D6" s="8">
        <f t="shared" si="0"/>
        <v>105</v>
      </c>
      <c r="E6" s="4">
        <f>D6*$G$2</f>
        <v>10.5</v>
      </c>
      <c r="F6" s="9"/>
      <c r="G6" s="1"/>
      <c r="H6" s="6"/>
      <c r="I6" s="6"/>
    </row>
    <row r="7" spans="1:11" ht="27.6" x14ac:dyDescent="0.3">
      <c r="A7" s="2" t="s">
        <v>7</v>
      </c>
      <c r="B7" s="2">
        <v>5</v>
      </c>
      <c r="C7" s="3">
        <v>150</v>
      </c>
      <c r="D7" s="8">
        <f t="shared" si="0"/>
        <v>750</v>
      </c>
      <c r="E7" s="4">
        <f>D7*$G$2</f>
        <v>75</v>
      </c>
      <c r="F7" s="9"/>
      <c r="G7" s="1"/>
      <c r="H7" s="6"/>
      <c r="I7" s="6"/>
    </row>
    <row r="8" spans="1:11" ht="27.6" x14ac:dyDescent="0.3">
      <c r="A8" s="2" t="s">
        <v>8</v>
      </c>
      <c r="B8" s="2">
        <v>20</v>
      </c>
      <c r="C8" s="3">
        <v>4.8</v>
      </c>
      <c r="D8" s="8">
        <f t="shared" si="0"/>
        <v>96</v>
      </c>
      <c r="E8" s="4">
        <f>D8*$G$2</f>
        <v>9.6000000000000014</v>
      </c>
      <c r="F8" s="9"/>
      <c r="G8" s="1"/>
      <c r="H8" s="6"/>
      <c r="I8" s="6"/>
    </row>
    <row r="9" spans="1:11" ht="41.4" x14ac:dyDescent="0.3">
      <c r="A9" s="2" t="s">
        <v>9</v>
      </c>
      <c r="B9" s="2">
        <v>15</v>
      </c>
      <c r="C9" s="3">
        <v>6.9</v>
      </c>
      <c r="D9" s="8">
        <f t="shared" si="0"/>
        <v>103.5</v>
      </c>
      <c r="E9" s="4">
        <f>D9*$G$2</f>
        <v>10.350000000000001</v>
      </c>
      <c r="F9" s="9"/>
      <c r="G9" s="1"/>
      <c r="H9" s="6"/>
      <c r="I9" s="6"/>
    </row>
    <row r="10" spans="1:11" ht="27.6" x14ac:dyDescent="0.3">
      <c r="A10" s="2" t="s">
        <v>10</v>
      </c>
      <c r="B10" s="2">
        <v>25</v>
      </c>
      <c r="C10" s="3">
        <v>8.9</v>
      </c>
      <c r="D10" s="8">
        <f t="shared" si="0"/>
        <v>222.5</v>
      </c>
      <c r="E10" s="4">
        <f>D10*$G$2</f>
        <v>22.25</v>
      </c>
      <c r="F10" s="9"/>
      <c r="G10" s="1"/>
      <c r="H10" s="6"/>
      <c r="I10" s="6"/>
    </row>
    <row r="11" spans="1:11" ht="41.4" x14ac:dyDescent="0.3">
      <c r="A11" s="2" t="s">
        <v>11</v>
      </c>
      <c r="B11" s="2">
        <v>12</v>
      </c>
      <c r="C11" s="3">
        <v>12.5</v>
      </c>
      <c r="D11" s="8">
        <f t="shared" si="0"/>
        <v>150</v>
      </c>
      <c r="E11" s="4">
        <f>D11*$G$2</f>
        <v>15</v>
      </c>
      <c r="F11" s="9"/>
      <c r="G11" s="1"/>
      <c r="H11" s="6"/>
      <c r="I11" s="6"/>
    </row>
    <row r="12" spans="1:11" ht="27.6" x14ac:dyDescent="0.3">
      <c r="A12" s="22" t="s">
        <v>12</v>
      </c>
      <c r="B12" s="22">
        <v>8</v>
      </c>
      <c r="C12" s="17">
        <v>45</v>
      </c>
      <c r="D12" s="18">
        <f t="shared" si="0"/>
        <v>360</v>
      </c>
      <c r="E12" s="19">
        <f>D12*$G$2</f>
        <v>36</v>
      </c>
      <c r="F12" s="12"/>
      <c r="G12" s="5"/>
      <c r="H12" s="10"/>
      <c r="I12" s="6"/>
    </row>
    <row r="13" spans="1:11" x14ac:dyDescent="0.3">
      <c r="A13" s="37" t="s">
        <v>14</v>
      </c>
      <c r="B13" s="30"/>
      <c r="C13" s="31">
        <f>AVERAGE(C3:C12)</f>
        <v>26.120000000000005</v>
      </c>
      <c r="D13" s="23">
        <f>SUM(D3:D12)</f>
        <v>2550</v>
      </c>
      <c r="E13" s="32">
        <f>D13*$G$2</f>
        <v>255</v>
      </c>
      <c r="F13" s="26"/>
      <c r="G13" s="28"/>
      <c r="H13" s="6"/>
      <c r="I13" s="6"/>
      <c r="K13" s="11"/>
    </row>
    <row r="14" spans="1:11" x14ac:dyDescent="0.3">
      <c r="A14" s="38" t="s">
        <v>17</v>
      </c>
      <c r="B14" s="35"/>
      <c r="C14" s="34">
        <f>MAX(C3:C12)</f>
        <v>150</v>
      </c>
      <c r="D14" s="33"/>
      <c r="E14" s="24"/>
      <c r="F14" s="27"/>
      <c r="G14" s="29"/>
      <c r="H14" s="6"/>
      <c r="I14" s="6"/>
      <c r="K14" s="6"/>
    </row>
    <row r="15" spans="1:11" x14ac:dyDescent="0.3">
      <c r="A15" s="10"/>
      <c r="B15" s="6"/>
      <c r="C15" s="25"/>
      <c r="D15" s="6"/>
      <c r="E15" s="20"/>
      <c r="F15" s="6"/>
      <c r="G15" s="6"/>
      <c r="H15" s="6"/>
      <c r="I15" s="6"/>
      <c r="J15" s="6"/>
      <c r="K15" s="6"/>
    </row>
    <row r="16" spans="1:11" x14ac:dyDescent="0.3">
      <c r="H16" s="6"/>
      <c r="I16" s="6"/>
    </row>
    <row r="18" spans="4:6" x14ac:dyDescent="0.3">
      <c r="D18" s="6"/>
    </row>
    <row r="19" spans="4:6" x14ac:dyDescent="0.3">
      <c r="D19" s="6"/>
    </row>
    <row r="20" spans="4:6" x14ac:dyDescent="0.3">
      <c r="F20" s="36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2026-01-13T17:39:00Z</dcterms:created>
  <dcterms:modified xsi:type="dcterms:W3CDTF">2026-01-13T20:39:02Z</dcterms:modified>
</cp:coreProperties>
</file>