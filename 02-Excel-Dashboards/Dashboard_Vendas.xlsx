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E67DB007-50EF-441D-9F1B-23DF0813D8BB}" xr6:coauthVersionLast="47" xr6:coauthVersionMax="47" xr10:uidLastSave="{00000000-0000-0000-0000-000000000000}"/>
  <bookViews>
    <workbookView xWindow="28680" yWindow="-1245" windowWidth="29040" windowHeight="15720" xr2:uid="{D9FD8DB9-A66C-4BA8-AC98-AF62DFDCCFB7}"/>
  </bookViews>
  <sheets>
    <sheet name="Dashboard" sheetId="6" r:id="rId1"/>
    <sheet name="Calculos" sheetId="5" r:id="rId2"/>
    <sheet name="f_vendas" sheetId="1" r:id="rId3"/>
    <sheet name="Base_Dados" sheetId="4" r:id="rId4"/>
    <sheet name="d_produtos" sheetId="2" r:id="rId5"/>
  </sheets>
  <definedNames>
    <definedName name="DadosExternos_1" localSheetId="3" hidden="1">Base_Dados!$A$1:$I$42</definedName>
    <definedName name="SegmentaçãodeDados_ID_Loja">#N/A</definedName>
  </definedNames>
  <calcPr calcId="191029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8A8328-0309-4B29-B26A-2970C859355C}" keepAlive="1" name="Consulta - dProdutos" description="Conexão com a consulta 'dProdutos' na pasta de trabalho." type="5" refreshedVersion="0" background="1">
    <dbPr connection="Provider=Microsoft.Mashup.OleDb.1;Data Source=$Workbook$;Location=dProdutos;Extended Properties=&quot;&quot;" command="SELECT * FROM [dProdutos]"/>
  </connection>
  <connection id="2" xr16:uid="{E50AFB26-AA43-4D01-80A4-0AAB1B53E250}" keepAlive="1" name="Consulta - fVendas" description="Conexão com a consulta 'fVendas' na pasta de trabalho." type="5" refreshedVersion="0" background="1">
    <dbPr connection="Provider=Microsoft.Mashup.OleDb.1;Data Source=$Workbook$;Location=fVendas;Extended Properties=&quot;&quot;" command="SELECT * FROM [fVendas]"/>
  </connection>
  <connection id="3" xr16:uid="{33835D4A-E4A8-43FD-AE78-D59D2D80EA1B}" keepAlive="1" name="Consulta - Mesclar1" description="Conexão com a consulta 'Mesclar1' na pasta de trabalho." type="5" refreshedVersion="8" background="1" saveData="1">
    <dbPr connection="Provider=Microsoft.Mashup.OleDb.1;Data Source=$Workbook$;Location=Mesclar1;Extended Properties=&quot;&quot;" command="SELECT * FROM [Mesclar1]"/>
  </connection>
</connections>
</file>

<file path=xl/sharedStrings.xml><?xml version="1.0" encoding="utf-8"?>
<sst xmlns="http://schemas.openxmlformats.org/spreadsheetml/2006/main" count="379" uniqueCount="121">
  <si>
    <t>Data</t>
  </si>
  <si>
    <t>ID_Venda</t>
  </si>
  <si>
    <t>ID_Produto</t>
  </si>
  <si>
    <t>Qtd</t>
  </si>
  <si>
    <t>ID_Loja</t>
  </si>
  <si>
    <t>P-001</t>
  </si>
  <si>
    <t>SP-01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</si>
  <si>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</si>
  <si>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</si>
  <si>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</si>
  <si>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</si>
  <si>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</si>
  <si>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</si>
  <si>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</si>
  <si>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</si>
  <si>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</si>
  <si>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</si>
  <si>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</si>
  <si>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</si>
  <si>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</si>
  <si>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</si>
  <si>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</si>
  <si>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</si>
  <si>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</si>
  <si>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</si>
  <si>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</si>
  <si>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</si>
  <si>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</si>
  <si>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</si>
  <si>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</si>
  <si>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</si>
  <si>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</si>
  <si>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</si>
  <si>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</si>
  <si>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</si>
  <si>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</si>
  <si>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</si>
  <si>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SP-02</t>
  </si>
  <si>
    <t>SP-03</t>
  </si>
  <si>
    <t>SP-04</t>
  </si>
  <si>
    <t>SP-05</t>
  </si>
  <si>
    <t>SP-06</t>
  </si>
  <si>
    <t>SP-07</t>
  </si>
  <si>
    <t>SP-08</t>
  </si>
  <si>
    <t>SP-09</t>
  </si>
  <si>
    <t>SP-10</t>
  </si>
  <si>
    <t>SP-11</t>
  </si>
  <si>
    <t>SP-12</t>
  </si>
  <si>
    <t>SP-13</t>
  </si>
  <si>
    <t>SP-14</t>
  </si>
  <si>
    <t>SP-15</t>
  </si>
  <si>
    <t>SP-16</t>
  </si>
  <si>
    <t>SP-17</t>
  </si>
  <si>
    <t>SP-18</t>
  </si>
  <si>
    <t>SP-19</t>
  </si>
  <si>
    <t>SP-20</t>
  </si>
  <si>
    <t>SP-21</t>
  </si>
  <si>
    <t>SP-22</t>
  </si>
  <si>
    <t>SP-23</t>
  </si>
  <si>
    <t>SP-24</t>
  </si>
  <si>
    <t>SP-25</t>
  </si>
  <si>
    <t>SP-26</t>
  </si>
  <si>
    <t>SP-27</t>
  </si>
  <si>
    <t>SP-28</t>
  </si>
  <si>
    <t>SP-29</t>
  </si>
  <si>
    <t>SP-30</t>
  </si>
  <si>
    <t>SP-31</t>
  </si>
  <si>
    <t>Nome_Produto</t>
  </si>
  <si>
    <t>Categoria</t>
  </si>
  <si>
    <t>Preço_Unit</t>
  </si>
  <si>
    <t>Custo_Unit</t>
  </si>
  <si>
    <t>iPhone 15</t>
  </si>
  <si>
    <t>Galaxy S24</t>
  </si>
  <si>
    <t>Notebook Dell</t>
  </si>
  <si>
    <t>Mouse Gamer</t>
  </si>
  <si>
    <t>Cabo HDMI</t>
  </si>
  <si>
    <t>Teclado Mecânico</t>
  </si>
  <si>
    <t>Monitor 24"</t>
  </si>
  <si>
    <t>Headset RGB</t>
  </si>
  <si>
    <t>Webcam HD</t>
  </si>
  <si>
    <t>Cadeira Gamer</t>
  </si>
  <si>
    <t>Mesa Escritório</t>
  </si>
  <si>
    <t>Tablet Samsung</t>
  </si>
  <si>
    <t>iPad Air</t>
  </si>
  <si>
    <t>Carregador Turbo</t>
  </si>
  <si>
    <t>Capa Protetora</t>
  </si>
  <si>
    <t>Suporte Notebook</t>
  </si>
  <si>
    <t>Caixa de Som</t>
  </si>
  <si>
    <t>Fone Bluetooth</t>
  </si>
  <si>
    <t>Smartwatch</t>
  </si>
  <si>
    <t>Pulseira Smart</t>
  </si>
  <si>
    <t>HD Externo 1TB</t>
  </si>
  <si>
    <t>SSD 500GB</t>
  </si>
  <si>
    <t>Roteador Wi-Fi</t>
  </si>
  <si>
    <t>Repetidor Sinal</t>
  </si>
  <si>
    <t>Impressora</t>
  </si>
  <si>
    <t>Cartucho Tinta</t>
  </si>
  <si>
    <t>Papel A4 (Resma)</t>
  </si>
  <si>
    <t>Caneta Touch</t>
  </si>
  <si>
    <t>Mochila Note</t>
  </si>
  <si>
    <t>Hub USB</t>
  </si>
  <si>
    <t>Filtro de Linha</t>
  </si>
  <si>
    <t>Celular</t>
  </si>
  <si>
    <t>Info</t>
  </si>
  <si>
    <t>Acessório</t>
  </si>
  <si>
    <t>Móveis</t>
  </si>
  <si>
    <t>Áudio</t>
  </si>
  <si>
    <t>Wearable</t>
  </si>
  <si>
    <t>Rede</t>
  </si>
  <si>
    <t>Suprimento</t>
  </si>
  <si>
    <t>Energia</t>
  </si>
  <si>
    <t>Faturamento</t>
  </si>
  <si>
    <t>Rótulos de Linha</t>
  </si>
  <si>
    <t>Total Geral</t>
  </si>
  <si>
    <t>Soma de Faturamento</t>
  </si>
  <si>
    <t>jan</t>
  </si>
  <si>
    <t>RJ-02</t>
  </si>
  <si>
    <t>MG-01</t>
  </si>
  <si>
    <t>RJ-01</t>
  </si>
  <si>
    <t>fev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</si>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</sst>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8" xfId="0" applyFont="1" applyFill="1" applyBorder="1"/>
    <xf numFmtId="0" fontId="1" fillId="3" borderId="4" xfId="0" applyFont="1" applyFill="1" applyBorder="1"/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22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[Dashboard_Vendas.xlsx]Calculos!Tabela dinâmica5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Faturamento Mensal</a:t>
            </a:r>
            <a:endParaRPr lang="pt-BR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Calculos!$F$1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Calculos!$E$2:$E$5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Calculos!$F$2:$F$5</c:f>
              <c:numCache>
                <c:formatCode>General</c:formatCode>
                <c:ptCount val="3"/>
                <c:pt idx="0">
                  <c:v>15060</c:v>
                </c:pt>
                <c:pt idx="1">
                  <c:v>44850</c:v>
                </c:pt>
                <c:pt idx="2">
                  <c:v>48550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4-4962-9D2C-24F3FC320E0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9660319"/>
        <c:axId val="589661279"/>
      </c:lineChart>
      <c:catAx>
        <c:axId val="58966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9661279"/>
        <c:crosses val="autoZero"/>
        <c:auto val="1"/>
        <c:lblAlgn val="ctr"/>
        <c:lblOffset val="100"/>
        <c:noMultiLvlLbl val="0"/>
      </c:catAx>
      <c:valAx>
        <c:axId val="589661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966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[Dashboard_Vendas.xlsx]Calculos!Tabela dinâmica6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Vendas por Categoria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3624828947663584"/>
              <c:y val="-3.2619496506598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3900981647460509"/>
              <c:y val="0.201593999062353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235026319533361"/>
              <c:y val="8.43881856540084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80689593288018"/>
              <c:y val="9.859154929577447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50490823730263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918949233909863"/>
              <c:y val="-4.6882325363338025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7050205262803689"/>
              <c:y val="-0.1391131566300691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6599816048634948E-2"/>
              <c:y val="-0.1125174670067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4086412275388553E-2"/>
              <c:y val="-0.105392776607149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94456782645759"/>
                  <c:h val="0.11837492144467857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Calculos!$J$1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00-49F3-8393-AD39C04C6D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00-49F3-8393-AD39C04C6D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00-49F3-8393-AD39C04C6D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00-49F3-8393-AD39C04C6D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00-49F3-8393-AD39C04C6D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600-49F3-8393-AD39C04C6D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600-49F3-8393-AD39C04C6DA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600-49F3-8393-AD39C04C6DA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600-49F3-8393-AD39C04C6DA7}"/>
              </c:ext>
            </c:extLst>
          </c:dPt>
          <c:dLbls>
            <c:dLbl>
              <c:idx val="0"/>
              <c:layout>
                <c:manualLayout>
                  <c:x val="0.23624828947663584"/>
                  <c:y val="-3.2619496506598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00-49F3-8393-AD39C04C6DA7}"/>
                </c:ext>
              </c:extLst>
            </c:dLbl>
            <c:dLbl>
              <c:idx val="1"/>
              <c:layout>
                <c:manualLayout>
                  <c:x val="0.12235026319533361"/>
                  <c:y val="8.43881856540084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00-49F3-8393-AD39C04C6DA7}"/>
                </c:ext>
              </c:extLst>
            </c:dLbl>
            <c:dLbl>
              <c:idx val="2"/>
              <c:layout>
                <c:manualLayout>
                  <c:x val="-0.1195049082373026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00-49F3-8393-AD39C04C6DA7}"/>
                </c:ext>
              </c:extLst>
            </c:dLbl>
            <c:dLbl>
              <c:idx val="3"/>
              <c:layout>
                <c:manualLayout>
                  <c:x val="-0.19918949233909863"/>
                  <c:y val="-4.688232536333802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600-49F3-8393-AD39C04C6DA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Calculos!$I$2:$I$6</c:f>
              <c:strCache>
                <c:ptCount val="4"/>
                <c:pt idx="0">
                  <c:v>Acessório</c:v>
                </c:pt>
                <c:pt idx="1">
                  <c:v>Celular</c:v>
                </c:pt>
                <c:pt idx="2">
                  <c:v>Info</c:v>
                </c:pt>
                <c:pt idx="3">
                  <c:v>Móveis</c:v>
                </c:pt>
              </c:strCache>
            </c:strRef>
          </c:cat>
          <c:val>
            <c:numRef>
              <c:f>Calculos!$J$2:$J$6</c:f>
              <c:numCache>
                <c:formatCode>General</c:formatCode>
                <c:ptCount val="4"/>
                <c:pt idx="0">
                  <c:v>1760</c:v>
                </c:pt>
                <c:pt idx="1">
                  <c:v>89500</c:v>
                </c:pt>
                <c:pt idx="2">
                  <c:v>16000</c:v>
                </c:pt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600-49F3-8393-AD39C04C6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[Dashboard_Vendas.xlsx]Calculos!Tabela dinâmica7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Top 5 Produtos</a:t>
            </a:r>
            <a:endParaRPr lang="en-US"/>
          </a:p>
        </c:rich>
      </c:tx>
      <c:layout>
        <c:manualLayout>
          <c:xMode val="edge"/>
          <c:yMode val="edge"/>
          <c:x val="0.46201923076923079"/>
          <c:y val="4.15045565140094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Calculos!$A$2:$A$7</c:f>
              <c:strCache>
                <c:ptCount val="5"/>
                <c:pt idx="0">
                  <c:v>Cadeira Gamer</c:v>
                </c:pt>
                <c:pt idx="1">
                  <c:v>Galaxy S24</c:v>
                </c:pt>
                <c:pt idx="2">
                  <c:v>iPhone 15</c:v>
                </c:pt>
                <c:pt idx="3">
                  <c:v>Mouse Gamer</c:v>
                </c:pt>
                <c:pt idx="4">
                  <c:v>Notebook Dell</c:v>
                </c:pt>
              </c:strCache>
            </c:strRef>
          </c:cat>
          <c:val>
            <c:numRef>
              <c:f>Calculos!$B$2:$B$7</c:f>
              <c:numCache>
                <c:formatCode>General</c:formatCode>
                <c:ptCount val="5"/>
                <c:pt idx="0">
                  <c:v>1200</c:v>
                </c:pt>
                <c:pt idx="1">
                  <c:v>49500</c:v>
                </c:pt>
                <c:pt idx="2">
                  <c:v>40000</c:v>
                </c:pt>
                <c:pt idx="3">
                  <c:v>750</c:v>
                </c:pt>
                <c:pt idx="4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E-4110-8507-D638428B5B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6079519"/>
        <c:axId val="596334575"/>
      </c:barChart>
      <c:catAx>
        <c:axId val="59607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6334575"/>
        <c:crosses val="autoZero"/>
        <c:auto val="1"/>
        <c:lblAlgn val="ctr"/>
        <c:lblOffset val="100"/>
        <c:noMultiLvlLbl val="0"/>
      </c:catAx>
      <c:valAx>
        <c:axId val="5963345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607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24765</xdr:rowOff>
    </xdr:from>
    <xdr:to>
      <xdr:col>26</xdr:col>
      <xdr:colOff>22860</xdr:colOff>
      <xdr:row>6</xdr:row>
      <xdr:rowOff>20955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AEB5152-311F-D35F-0D64-6A55F66F72EC}"/>
            </a:ext>
          </a:extLst>
        </xdr:cNvPr>
        <xdr:cNvSpPr/>
      </xdr:nvSpPr>
      <xdr:spPr>
        <a:xfrm>
          <a:off x="0" y="24765"/>
          <a:ext cx="15872460" cy="10820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Segoe UI" panose="020B0502040204020203" pitchFamily="34" charset="0"/>
              <a:cs typeface="Segoe UI" panose="020B0502040204020203" pitchFamily="34" charset="0"/>
            </a:rPr>
            <a:t>DASHBOARD DE VENDAS</a:t>
          </a:r>
          <a:endParaRPr lang="pt-BR" sz="24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133350</xdr:colOff>
      <xdr:row>7</xdr:row>
      <xdr:rowOff>171449</xdr:rowOff>
    </xdr:from>
    <xdr:to>
      <xdr:col>12</xdr:col>
      <xdr:colOff>0</xdr:colOff>
      <xdr:row>21</xdr:row>
      <xdr:rowOff>97153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E549FF2-E367-42EA-92F6-0F96F4590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24</xdr:row>
      <xdr:rowOff>137159</xdr:rowOff>
    </xdr:from>
    <xdr:to>
      <xdr:col>11</xdr:col>
      <xdr:colOff>600075</xdr:colOff>
      <xdr:row>40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FDCD70D-EDE6-4BEE-A444-FD965E51F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0</xdr:colOff>
      <xdr:row>25</xdr:row>
      <xdr:rowOff>135567</xdr:rowOff>
    </xdr:from>
    <xdr:to>
      <xdr:col>25</xdr:col>
      <xdr:colOff>556260</xdr:colOff>
      <xdr:row>36</xdr:row>
      <xdr:rowOff>135567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ID_Loja">
              <a:extLst>
                <a:ext uri="{FF2B5EF4-FFF2-40B4-BE49-F238E27FC236}">
                  <a16:creationId xmlns:a16="http://schemas.microsoft.com/office/drawing/2014/main" id="{5F70E0E2-DF53-4EED-AA4E-3B4C8E3C4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Loj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20800" y="4656132"/>
              <a:ext cx="1771650" cy="1990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0</xdr:colOff>
      <xdr:row>7</xdr:row>
      <xdr:rowOff>180974</xdr:rowOff>
    </xdr:from>
    <xdr:to>
      <xdr:col>26</xdr:col>
      <xdr:colOff>0</xdr:colOff>
      <xdr:row>21</xdr:row>
      <xdr:rowOff>97153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7814090-AA48-4FAE-98ED-100DD57D4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0</xdr:colOff>
      <xdr:row>26</xdr:row>
      <xdr:rowOff>161924</xdr:rowOff>
    </xdr:from>
    <xdr:ext cx="6096000" cy="1791014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1C497733-AC7C-550C-4906-E1CA4898EC83}"/>
            </a:ext>
          </a:extLst>
        </xdr:cNvPr>
        <xdr:cNvSpPr txBox="1"/>
      </xdr:nvSpPr>
      <xdr:spPr>
        <a:xfrm>
          <a:off x="7315200" y="4867274"/>
          <a:ext cx="6096000" cy="17910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00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💡 Insights de Negócio</a:t>
          </a:r>
        </a:p>
        <a:p>
          <a:endParaRPr lang="pt-BR" sz="105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05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O faturamento apresenta alta volatilidade mensal, com forte dependência da categoria </a:t>
          </a:r>
          <a:r>
            <a:rPr lang="pt-BR" sz="105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Celulares</a:t>
          </a:r>
          <a:r>
            <a:rPr lang="pt-BR" sz="105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 (aprox. 80% da receita). </a:t>
          </a:r>
        </a:p>
        <a:p>
          <a:r>
            <a:rPr lang="pt-BR" sz="105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O resultado é sustentado majoritariamente por 5 produtos de alto valor (Curva A), indicando risco de concentração. </a:t>
          </a:r>
        </a:p>
        <a:p>
          <a:r>
            <a:rPr lang="pt-BR" sz="105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Recomendação:</a:t>
          </a:r>
          <a:r>
            <a:rPr lang="pt-BR" sz="105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 Implementar estratégias de </a:t>
          </a:r>
          <a:r>
            <a:rPr lang="pt-BR" sz="1050" i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Cross-Sell</a:t>
          </a:r>
          <a:r>
            <a:rPr lang="pt-BR" sz="105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 (venda cruzada) de Acessórios para blindar a margem e reduzir a dependência da venda de aparelhos.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éssica Rocha" refreshedDate="46066.480889467595" createdVersion="8" refreshedVersion="8" minRefreshableVersion="3" recordCount="41" xr:uid="{5A433203-01E2-4F00-ACF1-3F387FA75F1C}">
  <cacheSource type="worksheet">
    <worksheetSource name="Mesclar1"/>
  </cacheSource>
  <cacheFields count="11">
    <cacheField name="Data" numFmtId="22">
      <sharedItems containsSemiMixedTypes="0" containsNonDate="0" containsDate="1" containsString="0" minDate="2026-01-01T00:00:00" maxDate="2026-03-21T00:00:00" count="41">
        <d v="2026-01-01T00:00:00"/>
        <d v="2026-02-02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5T00:00:00"/>
        <d v="2026-02-10T00:00:00"/>
        <d v="2026-02-15T00:00:00"/>
        <d v="2026-02-20T00:00:00"/>
        <d v="2026-03-01T00:00:00"/>
        <d v="2026-03-05T00:00:00"/>
        <d v="2026-03-10T00:00:00"/>
        <d v="2026-03-15T00:00:00"/>
        <d v="2026-03-20T00:00:00"/>
      </sharedItems>
      <fieldGroup par="10"/>
    </cacheField>
    <cacheField name="ID_Venda" numFmtId="0">
      <sharedItems containsSemiMixedTypes="0" containsString="0" containsNumber="1" containsInteger="1" minValue="1001" maxValue="3005"/>
    </cacheField>
    <cacheField name="ID_Produto" numFmtId="0">
      <sharedItems/>
    </cacheField>
    <cacheField name="Qtd" numFmtId="0">
      <sharedItems containsSemiMixedTypes="0" containsString="0" containsNumber="1" containsInteger="1" minValue="1" maxValue="54"/>
    </cacheField>
    <cacheField name="ID_Loja" numFmtId="0">
      <sharedItems count="34">
        <s v="SP-01"/>
        <s v="SP-02"/>
        <s v="SP-03"/>
        <s v="SP-04"/>
        <s v="SP-05"/>
        <s v="SP-06"/>
        <s v="SP-07"/>
        <s v="SP-08"/>
        <s v="SP-09"/>
        <s v="SP-10"/>
        <s v="SP-11"/>
        <s v="SP-12"/>
        <s v="SP-13"/>
        <s v="SP-14"/>
        <s v="SP-15"/>
        <s v="SP-16"/>
        <s v="SP-17"/>
        <s v="SP-18"/>
        <s v="SP-19"/>
        <s v="SP-20"/>
        <s v="SP-21"/>
        <s v="SP-22"/>
        <s v="SP-23"/>
        <s v="SP-24"/>
        <s v="SP-25"/>
        <s v="SP-26"/>
        <s v="SP-27"/>
        <s v="SP-28"/>
        <s v="SP-29"/>
        <s v="SP-30"/>
        <s v="SP-31"/>
        <s v="RJ-02"/>
        <s v="MG-01"/>
        <s v="RJ-01"/>
      </sharedItems>
    </cacheField>
    <cacheField name="Nome_Produto" numFmtId="0">
      <sharedItems count="31">
        <s v="iPhone 15"/>
        <s v="Galaxy S24"/>
        <s v="Notebook Dell"/>
        <s v="Mouse Gamer"/>
        <s v="Cabo HDMI"/>
        <s v="Teclado Mecânico"/>
        <s v="Monitor 24&quot;"/>
        <s v="Headset RGB"/>
        <s v="Webcam HD"/>
        <s v="Cadeira Gamer"/>
        <s v="Mesa Escritório"/>
        <s v="Tablet Samsung"/>
        <s v="iPad Air"/>
        <s v="Carregador Turbo"/>
        <s v="Capa Protetora"/>
        <s v="Suporte Notebook"/>
        <s v="Caixa de Som"/>
        <s v="Fone Bluetooth"/>
        <s v="Smartwatch"/>
        <s v="Pulseira Smart"/>
        <s v="HD Externo 1TB"/>
        <s v="SSD 500GB"/>
        <s v="Roteador Wi-Fi"/>
        <s v="Repetidor Sinal"/>
        <s v="Impressora"/>
        <s v="Cartucho Tinta"/>
        <s v="Papel A4 (Resma)"/>
        <s v="Caneta Touch"/>
        <s v="Mochila Note"/>
        <s v="Hub USB"/>
        <s v="Filtro de Linha"/>
      </sharedItems>
    </cacheField>
    <cacheField name="Categoria" numFmtId="0">
      <sharedItems count="9">
        <s v="Celular"/>
        <s v="Info"/>
        <s v="Acessório"/>
        <s v="Móveis"/>
        <s v="Áudio"/>
        <s v="Wearable"/>
        <s v="Rede"/>
        <s v="Suprimento"/>
        <s v="Energia"/>
      </sharedItems>
    </cacheField>
    <cacheField name="Preço_Unit" numFmtId="0">
      <sharedItems containsSemiMixedTypes="0" containsString="0" containsNumber="1" containsInteger="1" minValue="25" maxValue="5000"/>
    </cacheField>
    <cacheField name="Faturamento" numFmtId="0">
      <sharedItems containsSemiMixedTypes="0" containsString="0" containsNumber="1" containsInteger="1" minValue="210" maxValue="37400"/>
    </cacheField>
    <cacheField name="Dias (Data)" numFmtId="0" databaseField="0">
      <fieldGroup base="0">
        <rangePr groupBy="days" startDate="2026-01-01T00:00:00" endDate="2026-03-21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1/03/2026"/>
        </groupItems>
      </fieldGroup>
    </cacheField>
    <cacheField name="Meses (Data)" numFmtId="0" databaseField="0">
      <fieldGroup base="0">
        <rangePr groupBy="months" startDate="2026-01-01T00:00:00" endDate="2026-03-21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1/03/2026"/>
        </groupItems>
      </fieldGroup>
    </cacheField>
  </cacheFields>
  <extLst>
    <ext xmlns:x14="http://schemas.microsoft.com/office/spreadsheetml/2009/9/main" uri="{725AE2AE-9491-48be-B2B4-4EB974FC3084}">
      <x14:pivotCacheDefinition pivotCacheId="2908085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1001"/>
    <s v="P-001"/>
    <n v="2"/>
    <x v="0"/>
    <x v="0"/>
    <x v="0"/>
    <n v="5000"/>
    <n v="10000"/>
  </r>
  <r>
    <x v="1"/>
    <n v="2001"/>
    <s v="P-001"/>
    <n v="3"/>
    <x v="0"/>
    <x v="0"/>
    <x v="0"/>
    <n v="5000"/>
    <n v="15000"/>
  </r>
  <r>
    <x v="2"/>
    <n v="1002"/>
    <s v="P-002"/>
    <n v="1"/>
    <x v="1"/>
    <x v="1"/>
    <x v="0"/>
    <n v="4500"/>
    <n v="4500"/>
  </r>
  <r>
    <x v="3"/>
    <n v="1003"/>
    <s v="P-003"/>
    <n v="5"/>
    <x v="2"/>
    <x v="2"/>
    <x v="1"/>
    <n v="3200"/>
    <n v="16000"/>
  </r>
  <r>
    <x v="4"/>
    <n v="1004"/>
    <s v="P-004"/>
    <n v="6"/>
    <x v="3"/>
    <x v="3"/>
    <x v="2"/>
    <n v="150"/>
    <n v="900"/>
  </r>
  <r>
    <x v="5"/>
    <n v="1005"/>
    <s v="P-005"/>
    <n v="7"/>
    <x v="4"/>
    <x v="4"/>
    <x v="2"/>
    <n v="30"/>
    <n v="210"/>
  </r>
  <r>
    <x v="6"/>
    <n v="1006"/>
    <s v="P-006"/>
    <n v="2"/>
    <x v="5"/>
    <x v="5"/>
    <x v="2"/>
    <n v="250"/>
    <n v="500"/>
  </r>
  <r>
    <x v="7"/>
    <n v="1007"/>
    <s v="P-007"/>
    <n v="4"/>
    <x v="6"/>
    <x v="6"/>
    <x v="1"/>
    <n v="900"/>
    <n v="3600"/>
  </r>
  <r>
    <x v="8"/>
    <n v="1008"/>
    <s v="P-008"/>
    <n v="3"/>
    <x v="7"/>
    <x v="7"/>
    <x v="2"/>
    <n v="200"/>
    <n v="600"/>
  </r>
  <r>
    <x v="9"/>
    <n v="1009"/>
    <s v="P-009"/>
    <n v="6"/>
    <x v="8"/>
    <x v="8"/>
    <x v="1"/>
    <n v="180"/>
    <n v="1080"/>
  </r>
  <r>
    <x v="10"/>
    <n v="1010"/>
    <s v="P-010"/>
    <n v="5"/>
    <x v="9"/>
    <x v="9"/>
    <x v="3"/>
    <n v="1200"/>
    <n v="6000"/>
  </r>
  <r>
    <x v="11"/>
    <n v="1011"/>
    <s v="P-011"/>
    <n v="4"/>
    <x v="10"/>
    <x v="10"/>
    <x v="3"/>
    <n v="450"/>
    <n v="1800"/>
  </r>
  <r>
    <x v="12"/>
    <n v="1012"/>
    <s v="P-012"/>
    <n v="9"/>
    <x v="11"/>
    <x v="11"/>
    <x v="0"/>
    <n v="1500"/>
    <n v="13500"/>
  </r>
  <r>
    <x v="13"/>
    <n v="1013"/>
    <s v="P-013"/>
    <n v="8"/>
    <x v="12"/>
    <x v="12"/>
    <x v="0"/>
    <n v="4000"/>
    <n v="32000"/>
  </r>
  <r>
    <x v="14"/>
    <n v="1014"/>
    <s v="P-014"/>
    <n v="7"/>
    <x v="13"/>
    <x v="13"/>
    <x v="2"/>
    <n v="80"/>
    <n v="560"/>
  </r>
  <r>
    <x v="15"/>
    <n v="1015"/>
    <s v="P-015"/>
    <n v="10"/>
    <x v="14"/>
    <x v="14"/>
    <x v="2"/>
    <n v="50"/>
    <n v="500"/>
  </r>
  <r>
    <x v="16"/>
    <n v="1016"/>
    <s v="P-016"/>
    <n v="11"/>
    <x v="15"/>
    <x v="15"/>
    <x v="2"/>
    <n v="100"/>
    <n v="1100"/>
  </r>
  <r>
    <x v="17"/>
    <n v="1017"/>
    <s v="P-017"/>
    <n v="22"/>
    <x v="16"/>
    <x v="16"/>
    <x v="4"/>
    <n v="300"/>
    <n v="6600"/>
  </r>
  <r>
    <x v="18"/>
    <n v="1018"/>
    <s v="P-018"/>
    <n v="54"/>
    <x v="17"/>
    <x v="17"/>
    <x v="4"/>
    <n v="250"/>
    <n v="13500"/>
  </r>
  <r>
    <x v="19"/>
    <n v="1019"/>
    <s v="P-019"/>
    <n v="9"/>
    <x v="18"/>
    <x v="18"/>
    <x v="5"/>
    <n v="800"/>
    <n v="7200"/>
  </r>
  <r>
    <x v="20"/>
    <n v="1020"/>
    <s v="P-020"/>
    <n v="15"/>
    <x v="19"/>
    <x v="19"/>
    <x v="5"/>
    <n v="200"/>
    <n v="3000"/>
  </r>
  <r>
    <x v="21"/>
    <n v="1021"/>
    <s v="P-021"/>
    <n v="16"/>
    <x v="20"/>
    <x v="20"/>
    <x v="1"/>
    <n v="350"/>
    <n v="5600"/>
  </r>
  <r>
    <x v="22"/>
    <n v="1022"/>
    <s v="P-022"/>
    <n v="17"/>
    <x v="21"/>
    <x v="21"/>
    <x v="1"/>
    <n v="280"/>
    <n v="4760"/>
  </r>
  <r>
    <x v="23"/>
    <n v="1023"/>
    <s v="P-023"/>
    <n v="19"/>
    <x v="22"/>
    <x v="22"/>
    <x v="6"/>
    <n v="220"/>
    <n v="4180"/>
  </r>
  <r>
    <x v="24"/>
    <n v="1024"/>
    <s v="P-024"/>
    <n v="22"/>
    <x v="23"/>
    <x v="23"/>
    <x v="6"/>
    <n v="120"/>
    <n v="2640"/>
  </r>
  <r>
    <x v="25"/>
    <n v="1025"/>
    <s v="P-025"/>
    <n v="44"/>
    <x v="24"/>
    <x v="24"/>
    <x v="1"/>
    <n v="850"/>
    <n v="37400"/>
  </r>
  <r>
    <x v="26"/>
    <n v="1026"/>
    <s v="P-026"/>
    <n v="23"/>
    <x v="25"/>
    <x v="25"/>
    <x v="7"/>
    <n v="90"/>
    <n v="2070"/>
  </r>
  <r>
    <x v="27"/>
    <n v="1027"/>
    <s v="P-027"/>
    <n v="18"/>
    <x v="26"/>
    <x v="26"/>
    <x v="7"/>
    <n v="25"/>
    <n v="450"/>
  </r>
  <r>
    <x v="28"/>
    <n v="1028"/>
    <s v="P-028"/>
    <n v="17"/>
    <x v="27"/>
    <x v="27"/>
    <x v="2"/>
    <n v="60"/>
    <n v="1020"/>
  </r>
  <r>
    <x v="29"/>
    <n v="1029"/>
    <s v="P-029"/>
    <n v="18"/>
    <x v="28"/>
    <x v="28"/>
    <x v="2"/>
    <n v="180"/>
    <n v="3240"/>
  </r>
  <r>
    <x v="30"/>
    <n v="1030"/>
    <s v="P-030"/>
    <n v="19"/>
    <x v="29"/>
    <x v="29"/>
    <x v="2"/>
    <n v="70"/>
    <n v="1330"/>
  </r>
  <r>
    <x v="31"/>
    <n v="1031"/>
    <s v="P-031"/>
    <n v="22"/>
    <x v="30"/>
    <x v="30"/>
    <x v="8"/>
    <n v="45"/>
    <n v="990"/>
  </r>
  <r>
    <x v="32"/>
    <n v="2002"/>
    <s v="P-003"/>
    <n v="2"/>
    <x v="31"/>
    <x v="2"/>
    <x v="1"/>
    <n v="3200"/>
    <n v="6400"/>
  </r>
  <r>
    <x v="33"/>
    <n v="2003"/>
    <s v="P-005"/>
    <n v="15"/>
    <x v="32"/>
    <x v="4"/>
    <x v="2"/>
    <n v="30"/>
    <n v="450"/>
  </r>
  <r>
    <x v="34"/>
    <n v="2004"/>
    <s v="P-002"/>
    <n v="4"/>
    <x v="0"/>
    <x v="1"/>
    <x v="0"/>
    <n v="4500"/>
    <n v="18000"/>
  </r>
  <r>
    <x v="35"/>
    <n v="2005"/>
    <s v="P-001"/>
    <n v="1"/>
    <x v="1"/>
    <x v="0"/>
    <x v="0"/>
    <n v="5000"/>
    <n v="5000"/>
  </r>
  <r>
    <x v="36"/>
    <n v="3001"/>
    <s v="P-004"/>
    <n v="5"/>
    <x v="33"/>
    <x v="3"/>
    <x v="2"/>
    <n v="150"/>
    <n v="750"/>
  </r>
  <r>
    <x v="37"/>
    <n v="3002"/>
    <s v="P-001"/>
    <n v="2"/>
    <x v="32"/>
    <x v="0"/>
    <x v="0"/>
    <n v="5000"/>
    <n v="10000"/>
  </r>
  <r>
    <x v="38"/>
    <n v="3003"/>
    <s v="P-003"/>
    <n v="3"/>
    <x v="0"/>
    <x v="2"/>
    <x v="1"/>
    <n v="3200"/>
    <n v="9600"/>
  </r>
  <r>
    <x v="39"/>
    <n v="3004"/>
    <s v="P-002"/>
    <n v="6"/>
    <x v="31"/>
    <x v="1"/>
    <x v="0"/>
    <n v="4500"/>
    <n v="27000"/>
  </r>
  <r>
    <x v="40"/>
    <n v="3005"/>
    <s v="P-010"/>
    <n v="1"/>
    <x v="0"/>
    <x v="9"/>
    <x v="3"/>
    <n v="1200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90158-4F0F-4D6C-AF75-139FE33054F3}" name="Tabela dinâmica7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1:B7" firstHeaderRow="1" firstDataRow="1" firstDataCol="1"/>
  <pivotFields count="11">
    <pivotField numFmtId="22" showAll="0">
      <items count="42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>
      <items count="35">
        <item x="32"/>
        <item x="33"/>
        <item x="31"/>
        <item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Row" showAll="0" measureFilter="1">
      <items count="32">
        <item x="4"/>
        <item x="9"/>
        <item x="16"/>
        <item x="27"/>
        <item x="14"/>
        <item x="13"/>
        <item x="25"/>
        <item x="30"/>
        <item x="17"/>
        <item x="1"/>
        <item x="20"/>
        <item x="7"/>
        <item x="29"/>
        <item x="24"/>
        <item x="12"/>
        <item x="0"/>
        <item x="10"/>
        <item x="28"/>
        <item x="6"/>
        <item x="3"/>
        <item x="2"/>
        <item x="26"/>
        <item x="19"/>
        <item x="23"/>
        <item x="22"/>
        <item x="18"/>
        <item x="21"/>
        <item x="15"/>
        <item x="11"/>
        <item x="5"/>
        <item x="8"/>
        <item t="default"/>
      </items>
    </pivotField>
    <pivotField showAll="0">
      <items count="10">
        <item x="2"/>
        <item x="4"/>
        <item x="0"/>
        <item x="8"/>
        <item x="1"/>
        <item x="3"/>
        <item x="6"/>
        <item x="7"/>
        <item x="5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 v="1"/>
    </i>
    <i>
      <x v="9"/>
    </i>
    <i>
      <x v="15"/>
    </i>
    <i>
      <x v="19"/>
    </i>
    <i>
      <x v="20"/>
    </i>
    <i t="grand">
      <x/>
    </i>
  </rowItems>
  <colItems count="1">
    <i/>
  </colItems>
  <dataFields count="1">
    <dataField name="Soma de Faturamento" fld="8" baseField="0" baseItem="0"/>
  </dataFields>
  <chartFormats count="3"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A1C99-F83E-45B1-9A1E-2B50F684176D}" name="Tabela dinâmica6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I1:J6" firstHeaderRow="1" firstDataRow="1" firstDataCol="1"/>
  <pivotFields count="11">
    <pivotField numFmtId="22" showAll="0">
      <items count="42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>
      <items count="35">
        <item x="32"/>
        <item x="33"/>
        <item x="31"/>
        <item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axis="axisRow" showAll="0">
      <items count="10">
        <item x="2"/>
        <item x="4"/>
        <item x="0"/>
        <item x="8"/>
        <item x="1"/>
        <item x="3"/>
        <item x="6"/>
        <item x="7"/>
        <item x="5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5">
    <i>
      <x/>
    </i>
    <i>
      <x v="2"/>
    </i>
    <i>
      <x v="4"/>
    </i>
    <i>
      <x v="5"/>
    </i>
    <i t="grand">
      <x/>
    </i>
  </rowItems>
  <colItems count="1">
    <i/>
  </colItems>
  <dataFields count="1">
    <dataField name="Soma de Faturamento" fld="8" baseField="0" baseItem="0"/>
  </dataFields>
  <chartFormats count="10"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91B01-EC82-405B-9CF2-729BE76EAB39}" name="Tabela dinâmica5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E1:F5" firstHeaderRow="1" firstDataRow="1" firstDataCol="1"/>
  <pivotFields count="11">
    <pivotField axis="axisRow" numFmtId="22" showAll="0">
      <items count="42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showAll="0"/>
    <pivotField showAll="0">
      <items count="35">
        <item x="32"/>
        <item x="33"/>
        <item x="31"/>
        <item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a de Faturamento" fld="8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F67C249C-5781-440C-914C-1A5E6E60C75C}" autoFormatId="16" applyNumberFormats="0" applyBorderFormats="0" applyFontFormats="0" applyPatternFormats="0" applyAlignmentFormats="0" applyWidthHeightFormats="0">
  <queryTableRefresh nextId="10">
    <queryTableFields count="9">
      <queryTableField id="1" name="Data" tableColumnId="1"/>
      <queryTableField id="2" name="ID_Venda" tableColumnId="2"/>
      <queryTableField id="3" name="ID_Produto" tableColumnId="3"/>
      <queryTableField id="4" name="Qtd" tableColumnId="4"/>
      <queryTableField id="5" name="ID_Loja" tableColumnId="5"/>
      <queryTableField id="6" name="Nome_Produto" tableColumnId="6"/>
      <queryTableField id="7" name="Categoria" tableColumnId="7"/>
      <queryTableField id="8" name="Preço_Unit" tableColumnId="8"/>
      <queryTableField id="9" name="Faturamento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D_Loja" xr10:uid="{358BE21E-5027-4D12-9AE9-998709DC8FE2}" sourceName="ID_Loja">
  <pivotTables>
    <pivotTable tabId="5" name="Tabela dinâmica5"/>
    <pivotTable tabId="5" name="Tabela dinâmica6"/>
    <pivotTable tabId="5" name="Tabela dinâmica7"/>
  </pivotTables>
  <data>
    <tabular pivotCacheId="290808518">
      <items count="34">
        <i x="32" s="1"/>
        <i x="33" s="1"/>
        <i x="31" s="1"/>
        <i x="0" s="1"/>
        <i x="1" s="1"/>
        <i x="2"/>
        <i x="3"/>
        <i x="4"/>
        <i x="5"/>
        <i x="6"/>
        <i x="7"/>
        <i x="8"/>
        <i x="9"/>
        <i x="10"/>
        <i x="11"/>
        <i x="12"/>
        <i x="13" s="1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D_Loja" xr10:uid="{C0203E38-633E-4884-96A2-D9D2F1B8AA28}" cache="SegmentaçãodeDados_ID_Loja" caption="ID_Loja" style="SlicerStyleDark1" rowHeight="2349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932BCD-E8FB-4B6E-A1DA-26E3233ACD47}" name="fVendas" displayName="fVendas" ref="A1:E42" totalsRowShown="0" headerRowDxfId="24" dataDxfId="22" headerRowBorderDxfId="23" tableBorderDxfId="21" totalsRowBorderDxfId="20">
  <autoFilter ref="A1:E42" xr:uid="{DE932BCD-E8FB-4B6E-A1DA-26E3233ACD47}"/>
  <tableColumns count="5">
    <tableColumn id="1" xr3:uid="{C4FDA476-F54E-4A48-A611-64341D6237AE}" name="Data" dataDxfId="19"/>
    <tableColumn id="2" xr3:uid="{A6DFF1C8-E1C9-40BC-832A-39BBCAED08BB}" name="ID_Venda" dataDxfId="18"/>
    <tableColumn id="3" xr3:uid="{9024AD70-FC09-4B56-9CA0-43EE7545700D}" name="ID_Produto" dataDxfId="17"/>
    <tableColumn id="4" xr3:uid="{4511AA60-BD78-4072-BE91-D43CE07556A3}" name="Qtd" dataDxfId="16"/>
    <tableColumn id="5" xr3:uid="{44F8A8F3-82B0-4921-A967-E2B6661CF50A}" name="ID_Loja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12C96A-E230-4873-B0AF-7488CFF53753}" name="Mesclar1" displayName="Mesclar1" ref="A1:I42" tableType="queryTable" totalsRowShown="0">
  <autoFilter ref="A1:I42" xr:uid="{9012C96A-E230-4873-B0AF-7488CFF53753}"/>
  <tableColumns count="9">
    <tableColumn id="1" xr3:uid="{B96EF626-E9B6-4E74-8393-C046A1392436}" uniqueName="1" name="Data" queryTableFieldId="1" dataDxfId="4"/>
    <tableColumn id="2" xr3:uid="{31E989A6-0D9B-43AC-B7F4-1DE51CDB70BF}" uniqueName="2" name="ID_Venda" queryTableFieldId="2"/>
    <tableColumn id="3" xr3:uid="{3E02E981-C407-4544-BCFA-7353A7DD8217}" uniqueName="3" name="ID_Produto" queryTableFieldId="3" dataDxfId="3"/>
    <tableColumn id="4" xr3:uid="{B7D28B51-0EA6-4545-9837-51A3A9C14A52}" uniqueName="4" name="Qtd" queryTableFieldId="4"/>
    <tableColumn id="5" xr3:uid="{9A677307-4386-403B-B337-A71BA3483893}" uniqueName="5" name="ID_Loja" queryTableFieldId="5" dataDxfId="2"/>
    <tableColumn id="6" xr3:uid="{039496F2-CBFA-475F-8D21-B2BF6CA8432B}" uniqueName="6" name="Nome_Produto" queryTableFieldId="6" dataDxfId="1"/>
    <tableColumn id="7" xr3:uid="{7888DEEC-2D3C-47EE-9916-FC932A97C9FE}" uniqueName="7" name="Categoria" queryTableFieldId="7" dataDxfId="0"/>
    <tableColumn id="8" xr3:uid="{BF4D9E85-D385-408C-AF12-1D1F20874693}" uniqueName="8" name="Preço_Unit" queryTableFieldId="8"/>
    <tableColumn id="9" xr3:uid="{E89FE0D5-B271-46E9-BAC5-E99D35A2B9AF}" uniqueName="9" name="Faturamento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58E9-75A4-431F-AF2D-4CB1EC8C42A9}" name="Tabela1" displayName="Tabela1" ref="A1:E32" totalsRowShown="0" headerRowDxfId="14" dataDxfId="12" headerRowBorderDxfId="13" tableBorderDxfId="11" totalsRowBorderDxfId="10">
  <autoFilter ref="A1:E32" xr:uid="{A1D358E9-75A4-431F-AF2D-4CB1EC8C42A9}"/>
  <tableColumns count="5">
    <tableColumn id="1" xr3:uid="{C191B9D2-E5FA-4041-A658-3714EC39111B}" name="ID_Produto" dataDxfId="9"/>
    <tableColumn id="2" xr3:uid="{0CDBEEBD-DD11-4A5F-80AD-E78D9B7E4816}" name="Nome_Produto" dataDxfId="8"/>
    <tableColumn id="3" xr3:uid="{EC8D7C45-9CBA-4E89-A7FC-87E75D9CE14C}" name="Categoria" dataDxfId="7"/>
    <tableColumn id="4" xr3:uid="{3A66EEE6-C244-430C-9728-772A24A565A0}" name="Preço_Unit" dataDxfId="6"/>
    <tableColumn id="5" xr3:uid="{6CB0694F-CFA1-466A-A53E-D4572E245261}" name="Custo_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E8B9-A762-4C8E-A282-29CCE2E57C98}">
  <dimension ref="A1"/>
  <sheetViews>
    <sheetView showGridLines="0" tabSelected="1" workbookViewId="0">
      <selection activeCell="X43" sqref="X43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E3B9-7A5B-47AC-9621-104D3121EA81}">
  <dimension ref="A1:J7"/>
  <sheetViews>
    <sheetView workbookViewId="0">
      <selection activeCell="B6" sqref="B6"/>
    </sheetView>
  </sheetViews>
  <sheetFormatPr defaultRowHeight="14.4" x14ac:dyDescent="0.3"/>
  <cols>
    <col min="1" max="1" width="17.44140625" bestFit="1" customWidth="1"/>
    <col min="2" max="2" width="20.109375" bestFit="1" customWidth="1"/>
    <col min="5" max="5" width="17.44140625" bestFit="1" customWidth="1"/>
    <col min="6" max="6" width="20.109375" customWidth="1"/>
    <col min="7" max="7" width="17.77734375" customWidth="1"/>
    <col min="9" max="9" width="17.44140625" bestFit="1" customWidth="1"/>
    <col min="10" max="10" width="20.109375" bestFit="1" customWidth="1"/>
  </cols>
  <sheetData>
    <row r="1" spans="1:10" x14ac:dyDescent="0.3">
      <c r="A1" s="16" t="s">
        <v>112</v>
      </c>
      <c r="B1" t="s">
        <v>114</v>
      </c>
      <c r="E1" s="16" t="s">
        <v>112</v>
      </c>
      <c r="F1" t="s">
        <v>114</v>
      </c>
      <c r="I1" s="16" t="s">
        <v>112</v>
      </c>
      <c r="J1" t="s">
        <v>114</v>
      </c>
    </row>
    <row r="2" spans="1:10" x14ac:dyDescent="0.3">
      <c r="A2" s="18" t="s">
        <v>80</v>
      </c>
      <c r="B2" s="17">
        <v>1200</v>
      </c>
      <c r="E2" s="18" t="s">
        <v>115</v>
      </c>
      <c r="F2" s="17">
        <v>15060</v>
      </c>
      <c r="I2" s="18" t="s">
        <v>104</v>
      </c>
      <c r="J2" s="17">
        <v>1760</v>
      </c>
    </row>
    <row r="3" spans="1:10" x14ac:dyDescent="0.3">
      <c r="A3" s="18" t="s">
        <v>72</v>
      </c>
      <c r="B3" s="17">
        <v>49500</v>
      </c>
      <c r="E3" s="18" t="s">
        <v>119</v>
      </c>
      <c r="F3" s="17">
        <v>44850</v>
      </c>
      <c r="I3" s="18" t="s">
        <v>102</v>
      </c>
      <c r="J3" s="17">
        <v>89500</v>
      </c>
    </row>
    <row r="4" spans="1:10" x14ac:dyDescent="0.3">
      <c r="A4" s="18" t="s">
        <v>71</v>
      </c>
      <c r="B4" s="17">
        <v>40000</v>
      </c>
      <c r="E4" s="18" t="s">
        <v>120</v>
      </c>
      <c r="F4" s="17">
        <v>48550</v>
      </c>
      <c r="I4" s="18" t="s">
        <v>103</v>
      </c>
      <c r="J4" s="17">
        <v>16000</v>
      </c>
    </row>
    <row r="5" spans="1:10" x14ac:dyDescent="0.3">
      <c r="A5" s="18" t="s">
        <v>74</v>
      </c>
      <c r="B5" s="17">
        <v>750</v>
      </c>
      <c r="E5" s="18" t="s">
        <v>113</v>
      </c>
      <c r="F5" s="17">
        <v>108460</v>
      </c>
      <c r="I5" s="18" t="s">
        <v>105</v>
      </c>
      <c r="J5" s="17">
        <v>1200</v>
      </c>
    </row>
    <row r="6" spans="1:10" x14ac:dyDescent="0.3">
      <c r="A6" s="18" t="s">
        <v>73</v>
      </c>
      <c r="B6" s="17">
        <v>16000</v>
      </c>
      <c r="I6" s="18" t="s">
        <v>113</v>
      </c>
      <c r="J6" s="17">
        <v>108460</v>
      </c>
    </row>
    <row r="7" spans="1:10" x14ac:dyDescent="0.3">
      <c r="A7" s="18" t="s">
        <v>113</v>
      </c>
      <c r="B7" s="17">
        <v>107450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BB0B9-078E-44EA-8EF4-5ADE271E3253}">
  <dimension ref="A1:E42"/>
  <sheetViews>
    <sheetView workbookViewId="0">
      <selection activeCell="I39" sqref="I39"/>
    </sheetView>
  </sheetViews>
  <sheetFormatPr defaultRowHeight="14.4" x14ac:dyDescent="0.3"/>
  <cols>
    <col min="1" max="1" width="12" customWidth="1"/>
    <col min="2" max="2" width="13.21875" customWidth="1"/>
    <col min="3" max="3" width="14.77734375" customWidth="1"/>
    <col min="4" max="4" width="11.5546875" customWidth="1"/>
    <col min="5" max="5" width="12.88671875" customWidth="1"/>
  </cols>
  <sheetData>
    <row r="1" spans="1:5" x14ac:dyDescent="0.3">
      <c r="A1" s="3" t="s">
        <v>0</v>
      </c>
      <c r="B1" s="13" t="s">
        <v>1</v>
      </c>
      <c r="C1" s="13" t="s">
        <v>2</v>
      </c>
      <c r="D1" s="13" t="s">
        <v>3</v>
      </c>
      <c r="E1" s="2" t="s">
        <v>4</v>
      </c>
    </row>
    <row r="2" spans="1:5" x14ac:dyDescent="0.3">
      <c r="A2" s="12">
        <v>46023</v>
      </c>
      <c r="B2" s="1">
        <v>1001</v>
      </c>
      <c r="C2" s="1" t="s">
        <v>5</v>
      </c>
      <c r="D2" s="1">
        <v>2</v>
      </c>
      <c r="E2" s="5" t="s">
        <v>6</v>
      </c>
    </row>
    <row r="3" spans="1:5" x14ac:dyDescent="0.3">
      <c r="A3" s="12">
        <v>46024</v>
      </c>
      <c r="B3" s="1">
        <v>1002</v>
      </c>
      <c r="C3" s="1" t="s">
        <v>7</v>
      </c>
      <c r="D3" s="1">
        <v>1</v>
      </c>
      <c r="E3" s="5" t="s">
        <v>37</v>
      </c>
    </row>
    <row r="4" spans="1:5" x14ac:dyDescent="0.3">
      <c r="A4" s="12">
        <v>46025</v>
      </c>
      <c r="B4" s="1">
        <v>1003</v>
      </c>
      <c r="C4" s="1" t="s">
        <v>8</v>
      </c>
      <c r="D4" s="1">
        <v>5</v>
      </c>
      <c r="E4" s="5" t="s">
        <v>38</v>
      </c>
    </row>
    <row r="5" spans="1:5" x14ac:dyDescent="0.3">
      <c r="A5" s="12">
        <v>46026</v>
      </c>
      <c r="B5" s="1">
        <v>1004</v>
      </c>
      <c r="C5" s="1" t="s">
        <v>9</v>
      </c>
      <c r="D5" s="1">
        <v>6</v>
      </c>
      <c r="E5" s="5" t="s">
        <v>39</v>
      </c>
    </row>
    <row r="6" spans="1:5" x14ac:dyDescent="0.3">
      <c r="A6" s="12">
        <v>46027</v>
      </c>
      <c r="B6" s="1">
        <v>1005</v>
      </c>
      <c r="C6" s="1" t="s">
        <v>10</v>
      </c>
      <c r="D6" s="1">
        <v>7</v>
      </c>
      <c r="E6" s="5" t="s">
        <v>40</v>
      </c>
    </row>
    <row r="7" spans="1:5" x14ac:dyDescent="0.3">
      <c r="A7" s="12">
        <v>46028</v>
      </c>
      <c r="B7" s="1">
        <v>1006</v>
      </c>
      <c r="C7" s="1" t="s">
        <v>11</v>
      </c>
      <c r="D7" s="1">
        <v>2</v>
      </c>
      <c r="E7" s="5" t="s">
        <v>41</v>
      </c>
    </row>
    <row r="8" spans="1:5" x14ac:dyDescent="0.3">
      <c r="A8" s="12">
        <v>46029</v>
      </c>
      <c r="B8" s="1">
        <v>1007</v>
      </c>
      <c r="C8" s="1" t="s">
        <v>12</v>
      </c>
      <c r="D8" s="1">
        <v>4</v>
      </c>
      <c r="E8" s="5" t="s">
        <v>42</v>
      </c>
    </row>
    <row r="9" spans="1:5" x14ac:dyDescent="0.3">
      <c r="A9" s="12">
        <v>46030</v>
      </c>
      <c r="B9" s="1">
        <v>1008</v>
      </c>
      <c r="C9" s="1" t="s">
        <v>13</v>
      </c>
      <c r="D9" s="1">
        <v>3</v>
      </c>
      <c r="E9" s="5" t="s">
        <v>43</v>
      </c>
    </row>
    <row r="10" spans="1:5" x14ac:dyDescent="0.3">
      <c r="A10" s="12">
        <v>46031</v>
      </c>
      <c r="B10" s="1">
        <v>1009</v>
      </c>
      <c r="C10" s="1" t="s">
        <v>14</v>
      </c>
      <c r="D10" s="1">
        <v>6</v>
      </c>
      <c r="E10" s="5" t="s">
        <v>44</v>
      </c>
    </row>
    <row r="11" spans="1:5" x14ac:dyDescent="0.3">
      <c r="A11" s="12">
        <v>46032</v>
      </c>
      <c r="B11" s="1">
        <v>1010</v>
      </c>
      <c r="C11" s="1" t="s">
        <v>15</v>
      </c>
      <c r="D11" s="1">
        <v>5</v>
      </c>
      <c r="E11" s="5" t="s">
        <v>45</v>
      </c>
    </row>
    <row r="12" spans="1:5" x14ac:dyDescent="0.3">
      <c r="A12" s="12">
        <v>46033</v>
      </c>
      <c r="B12" s="1">
        <v>1011</v>
      </c>
      <c r="C12" s="1" t="s">
        <v>16</v>
      </c>
      <c r="D12" s="1">
        <v>4</v>
      </c>
      <c r="E12" s="5" t="s">
        <v>46</v>
      </c>
    </row>
    <row r="13" spans="1:5" x14ac:dyDescent="0.3">
      <c r="A13" s="12">
        <v>46034</v>
      </c>
      <c r="B13" s="1">
        <v>1012</v>
      </c>
      <c r="C13" s="1" t="s">
        <v>17</v>
      </c>
      <c r="D13" s="1">
        <v>9</v>
      </c>
      <c r="E13" s="5" t="s">
        <v>47</v>
      </c>
    </row>
    <row r="14" spans="1:5" x14ac:dyDescent="0.3">
      <c r="A14" s="12">
        <v>46035</v>
      </c>
      <c r="B14" s="1">
        <v>1013</v>
      </c>
      <c r="C14" s="1" t="s">
        <v>18</v>
      </c>
      <c r="D14" s="1">
        <v>8</v>
      </c>
      <c r="E14" s="5" t="s">
        <v>48</v>
      </c>
    </row>
    <row r="15" spans="1:5" x14ac:dyDescent="0.3">
      <c r="A15" s="12">
        <v>46036</v>
      </c>
      <c r="B15" s="1">
        <v>1014</v>
      </c>
      <c r="C15" s="1" t="s">
        <v>19</v>
      </c>
      <c r="D15" s="1">
        <v>7</v>
      </c>
      <c r="E15" s="5" t="s">
        <v>49</v>
      </c>
    </row>
    <row r="16" spans="1:5" x14ac:dyDescent="0.3">
      <c r="A16" s="12">
        <v>46037</v>
      </c>
      <c r="B16" s="1">
        <v>1015</v>
      </c>
      <c r="C16" s="1" t="s">
        <v>20</v>
      </c>
      <c r="D16" s="1">
        <v>10</v>
      </c>
      <c r="E16" s="5" t="s">
        <v>50</v>
      </c>
    </row>
    <row r="17" spans="1:5" x14ac:dyDescent="0.3">
      <c r="A17" s="12">
        <v>46038</v>
      </c>
      <c r="B17" s="1">
        <v>1016</v>
      </c>
      <c r="C17" s="1" t="s">
        <v>21</v>
      </c>
      <c r="D17" s="1">
        <v>11</v>
      </c>
      <c r="E17" s="5" t="s">
        <v>51</v>
      </c>
    </row>
    <row r="18" spans="1:5" x14ac:dyDescent="0.3">
      <c r="A18" s="12">
        <v>46039</v>
      </c>
      <c r="B18" s="1">
        <v>1017</v>
      </c>
      <c r="C18" s="1" t="s">
        <v>22</v>
      </c>
      <c r="D18" s="1">
        <v>22</v>
      </c>
      <c r="E18" s="5" t="s">
        <v>52</v>
      </c>
    </row>
    <row r="19" spans="1:5" x14ac:dyDescent="0.3">
      <c r="A19" s="12">
        <v>46040</v>
      </c>
      <c r="B19" s="1">
        <v>1018</v>
      </c>
      <c r="C19" s="1" t="s">
        <v>23</v>
      </c>
      <c r="D19" s="1">
        <v>54</v>
      </c>
      <c r="E19" s="5" t="s">
        <v>53</v>
      </c>
    </row>
    <row r="20" spans="1:5" x14ac:dyDescent="0.3">
      <c r="A20" s="12">
        <v>46041</v>
      </c>
      <c r="B20" s="1">
        <v>1019</v>
      </c>
      <c r="C20" s="1" t="s">
        <v>24</v>
      </c>
      <c r="D20" s="1">
        <v>9</v>
      </c>
      <c r="E20" s="5" t="s">
        <v>54</v>
      </c>
    </row>
    <row r="21" spans="1:5" x14ac:dyDescent="0.3">
      <c r="A21" s="12">
        <v>46042</v>
      </c>
      <c r="B21" s="1">
        <v>1020</v>
      </c>
      <c r="C21" s="1" t="s">
        <v>25</v>
      </c>
      <c r="D21" s="1">
        <v>15</v>
      </c>
      <c r="E21" s="5" t="s">
        <v>55</v>
      </c>
    </row>
    <row r="22" spans="1:5" x14ac:dyDescent="0.3">
      <c r="A22" s="12">
        <v>46043</v>
      </c>
      <c r="B22" s="1">
        <v>1021</v>
      </c>
      <c r="C22" s="1" t="s">
        <v>26</v>
      </c>
      <c r="D22" s="1">
        <v>16</v>
      </c>
      <c r="E22" s="5" t="s">
        <v>56</v>
      </c>
    </row>
    <row r="23" spans="1:5" x14ac:dyDescent="0.3">
      <c r="A23" s="12">
        <v>46044</v>
      </c>
      <c r="B23" s="1">
        <v>1022</v>
      </c>
      <c r="C23" s="1" t="s">
        <v>27</v>
      </c>
      <c r="D23" s="1">
        <v>17</v>
      </c>
      <c r="E23" s="5" t="s">
        <v>57</v>
      </c>
    </row>
    <row r="24" spans="1:5" x14ac:dyDescent="0.3">
      <c r="A24" s="12">
        <v>46045</v>
      </c>
      <c r="B24" s="1">
        <v>1023</v>
      </c>
      <c r="C24" s="1" t="s">
        <v>28</v>
      </c>
      <c r="D24" s="1">
        <v>19</v>
      </c>
      <c r="E24" s="5" t="s">
        <v>58</v>
      </c>
    </row>
    <row r="25" spans="1:5" x14ac:dyDescent="0.3">
      <c r="A25" s="12">
        <v>46046</v>
      </c>
      <c r="B25" s="1">
        <v>1024</v>
      </c>
      <c r="C25" s="1" t="s">
        <v>29</v>
      </c>
      <c r="D25" s="1">
        <v>22</v>
      </c>
      <c r="E25" s="5" t="s">
        <v>59</v>
      </c>
    </row>
    <row r="26" spans="1:5" x14ac:dyDescent="0.3">
      <c r="A26" s="12">
        <v>46047</v>
      </c>
      <c r="B26" s="1">
        <v>1025</v>
      </c>
      <c r="C26" s="1" t="s">
        <v>30</v>
      </c>
      <c r="D26" s="1">
        <v>44</v>
      </c>
      <c r="E26" s="5" t="s">
        <v>60</v>
      </c>
    </row>
    <row r="27" spans="1:5" x14ac:dyDescent="0.3">
      <c r="A27" s="12">
        <v>46048</v>
      </c>
      <c r="B27" s="1">
        <v>1026</v>
      </c>
      <c r="C27" s="1" t="s">
        <v>31</v>
      </c>
      <c r="D27" s="1">
        <v>23</v>
      </c>
      <c r="E27" s="5" t="s">
        <v>61</v>
      </c>
    </row>
    <row r="28" spans="1:5" x14ac:dyDescent="0.3">
      <c r="A28" s="12">
        <v>46049</v>
      </c>
      <c r="B28" s="1">
        <v>1027</v>
      </c>
      <c r="C28" s="1" t="s">
        <v>32</v>
      </c>
      <c r="D28" s="1">
        <v>18</v>
      </c>
      <c r="E28" s="5" t="s">
        <v>62</v>
      </c>
    </row>
    <row r="29" spans="1:5" x14ac:dyDescent="0.3">
      <c r="A29" s="12">
        <v>46050</v>
      </c>
      <c r="B29" s="1">
        <v>1028</v>
      </c>
      <c r="C29" s="1" t="s">
        <v>33</v>
      </c>
      <c r="D29" s="1">
        <v>17</v>
      </c>
      <c r="E29" s="5" t="s">
        <v>63</v>
      </c>
    </row>
    <row r="30" spans="1:5" x14ac:dyDescent="0.3">
      <c r="A30" s="12">
        <v>46051</v>
      </c>
      <c r="B30" s="1">
        <v>1029</v>
      </c>
      <c r="C30" s="1" t="s">
        <v>34</v>
      </c>
      <c r="D30" s="1">
        <v>18</v>
      </c>
      <c r="E30" s="5" t="s">
        <v>64</v>
      </c>
    </row>
    <row r="31" spans="1:5" x14ac:dyDescent="0.3">
      <c r="A31" s="12">
        <v>46052</v>
      </c>
      <c r="B31" s="1">
        <v>1030</v>
      </c>
      <c r="C31" s="1" t="s">
        <v>35</v>
      </c>
      <c r="D31" s="1">
        <v>19</v>
      </c>
      <c r="E31" s="5" t="s">
        <v>65</v>
      </c>
    </row>
    <row r="32" spans="1:5" x14ac:dyDescent="0.3">
      <c r="A32" s="14">
        <v>46053</v>
      </c>
      <c r="B32" s="10">
        <v>1031</v>
      </c>
      <c r="C32" s="10" t="s">
        <v>36</v>
      </c>
      <c r="D32" s="10">
        <v>22</v>
      </c>
      <c r="E32" s="11" t="s">
        <v>66</v>
      </c>
    </row>
    <row r="33" spans="1:5" x14ac:dyDescent="0.3">
      <c r="A33" s="12">
        <v>46055</v>
      </c>
      <c r="B33" s="1">
        <v>2001</v>
      </c>
      <c r="C33" s="1" t="s">
        <v>5</v>
      </c>
      <c r="D33" s="1">
        <v>3</v>
      </c>
      <c r="E33" s="5" t="s">
        <v>6</v>
      </c>
    </row>
    <row r="34" spans="1:5" x14ac:dyDescent="0.3">
      <c r="A34" s="12">
        <v>46058</v>
      </c>
      <c r="B34" s="1">
        <v>2002</v>
      </c>
      <c r="C34" s="1" t="s">
        <v>8</v>
      </c>
      <c r="D34" s="1">
        <v>2</v>
      </c>
      <c r="E34" s="5" t="s">
        <v>116</v>
      </c>
    </row>
    <row r="35" spans="1:5" x14ac:dyDescent="0.3">
      <c r="A35" s="12">
        <v>46063</v>
      </c>
      <c r="B35" s="1">
        <v>2003</v>
      </c>
      <c r="C35" s="1" t="s">
        <v>10</v>
      </c>
      <c r="D35" s="1">
        <v>15</v>
      </c>
      <c r="E35" s="5" t="s">
        <v>117</v>
      </c>
    </row>
    <row r="36" spans="1:5" x14ac:dyDescent="0.3">
      <c r="A36" s="12">
        <v>46068</v>
      </c>
      <c r="B36" s="1">
        <v>2004</v>
      </c>
      <c r="C36" s="1" t="s">
        <v>7</v>
      </c>
      <c r="D36" s="1">
        <v>4</v>
      </c>
      <c r="E36" s="5" t="s">
        <v>6</v>
      </c>
    </row>
    <row r="37" spans="1:5" x14ac:dyDescent="0.3">
      <c r="A37" s="12">
        <v>46073</v>
      </c>
      <c r="B37" s="1">
        <v>2005</v>
      </c>
      <c r="C37" s="1" t="s">
        <v>5</v>
      </c>
      <c r="D37" s="1">
        <v>1</v>
      </c>
      <c r="E37" s="5" t="s">
        <v>37</v>
      </c>
    </row>
    <row r="38" spans="1:5" x14ac:dyDescent="0.3">
      <c r="A38" s="12">
        <v>46082</v>
      </c>
      <c r="B38" s="1">
        <v>3001</v>
      </c>
      <c r="C38" s="1" t="s">
        <v>9</v>
      </c>
      <c r="D38" s="1">
        <v>5</v>
      </c>
      <c r="E38" s="5" t="s">
        <v>118</v>
      </c>
    </row>
    <row r="39" spans="1:5" x14ac:dyDescent="0.3">
      <c r="A39" s="12">
        <v>46086</v>
      </c>
      <c r="B39" s="1">
        <v>3002</v>
      </c>
      <c r="C39" s="1" t="s">
        <v>5</v>
      </c>
      <c r="D39" s="1">
        <v>2</v>
      </c>
      <c r="E39" s="5" t="s">
        <v>117</v>
      </c>
    </row>
    <row r="40" spans="1:5" x14ac:dyDescent="0.3">
      <c r="A40" s="12">
        <v>46091</v>
      </c>
      <c r="B40" s="1">
        <v>3003</v>
      </c>
      <c r="C40" s="1" t="s">
        <v>8</v>
      </c>
      <c r="D40" s="1">
        <v>3</v>
      </c>
      <c r="E40" s="5" t="s">
        <v>6</v>
      </c>
    </row>
    <row r="41" spans="1:5" x14ac:dyDescent="0.3">
      <c r="A41" s="12">
        <v>46096</v>
      </c>
      <c r="B41" s="1">
        <v>3004</v>
      </c>
      <c r="C41" s="1" t="s">
        <v>7</v>
      </c>
      <c r="D41" s="1">
        <v>6</v>
      </c>
      <c r="E41" s="5" t="s">
        <v>116</v>
      </c>
    </row>
    <row r="42" spans="1:5" x14ac:dyDescent="0.3">
      <c r="A42" s="14">
        <v>46101</v>
      </c>
      <c r="B42" s="10">
        <v>3005</v>
      </c>
      <c r="C42" s="10" t="s">
        <v>15</v>
      </c>
      <c r="D42" s="10">
        <v>1</v>
      </c>
      <c r="E42" s="11" t="s">
        <v>6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5AFB-1BB9-4BF0-A726-1C982FEBEE48}">
  <dimension ref="A1:I42"/>
  <sheetViews>
    <sheetView topLeftCell="A2" workbookViewId="0">
      <selection activeCell="B2" sqref="B2"/>
    </sheetView>
  </sheetViews>
  <sheetFormatPr defaultRowHeight="14.4" x14ac:dyDescent="0.3"/>
  <cols>
    <col min="1" max="1" width="15.6640625" bestFit="1" customWidth="1"/>
    <col min="2" max="2" width="11.5546875" bestFit="1" customWidth="1"/>
    <col min="3" max="3" width="12.88671875" bestFit="1" customWidth="1"/>
    <col min="4" max="4" width="6.33203125" bestFit="1" customWidth="1"/>
    <col min="5" max="5" width="9.5546875" bestFit="1" customWidth="1"/>
    <col min="6" max="6" width="17.109375" bestFit="1" customWidth="1"/>
    <col min="7" max="7" width="11.33203125" bestFit="1" customWidth="1"/>
    <col min="8" max="8" width="12.77734375" bestFit="1" customWidth="1"/>
    <col min="9" max="9" width="14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  <c r="G1" t="s">
        <v>68</v>
      </c>
      <c r="H1" t="s">
        <v>69</v>
      </c>
      <c r="I1" t="s">
        <v>111</v>
      </c>
    </row>
    <row r="2" spans="1:9" x14ac:dyDescent="0.3">
      <c r="A2" s="15">
        <v>46023</v>
      </c>
      <c r="B2">
        <v>1001</v>
      </c>
      <c r="C2" s="17" t="s">
        <v>5</v>
      </c>
      <c r="D2">
        <v>2</v>
      </c>
      <c r="E2" s="17" t="s">
        <v>6</v>
      </c>
      <c r="F2" s="17" t="s">
        <v>71</v>
      </c>
      <c r="G2" s="17" t="s">
        <v>102</v>
      </c>
      <c r="H2">
        <v>5000</v>
      </c>
      <c r="I2">
        <v>10000</v>
      </c>
    </row>
    <row r="3" spans="1:9" x14ac:dyDescent="0.3">
      <c r="A3" s="15">
        <v>46055</v>
      </c>
      <c r="B3">
        <v>2001</v>
      </c>
      <c r="C3" s="17" t="s">
        <v>5</v>
      </c>
      <c r="D3">
        <v>3</v>
      </c>
      <c r="E3" s="17" t="s">
        <v>6</v>
      </c>
      <c r="F3" s="17" t="s">
        <v>71</v>
      </c>
      <c r="G3" s="17" t="s">
        <v>102</v>
      </c>
      <c r="H3">
        <v>5000</v>
      </c>
      <c r="I3">
        <v>15000</v>
      </c>
    </row>
    <row r="4" spans="1:9" x14ac:dyDescent="0.3">
      <c r="A4" s="15">
        <v>46024</v>
      </c>
      <c r="B4">
        <v>1002</v>
      </c>
      <c r="C4" s="17" t="s">
        <v>7</v>
      </c>
      <c r="D4">
        <v>1</v>
      </c>
      <c r="E4" s="17" t="s">
        <v>37</v>
      </c>
      <c r="F4" s="17" t="s">
        <v>72</v>
      </c>
      <c r="G4" s="17" t="s">
        <v>102</v>
      </c>
      <c r="H4">
        <v>4500</v>
      </c>
      <c r="I4">
        <v>4500</v>
      </c>
    </row>
    <row r="5" spans="1:9" x14ac:dyDescent="0.3">
      <c r="A5" s="15">
        <v>46025</v>
      </c>
      <c r="B5">
        <v>1003</v>
      </c>
      <c r="C5" s="17" t="s">
        <v>8</v>
      </c>
      <c r="D5">
        <v>5</v>
      </c>
      <c r="E5" s="17" t="s">
        <v>38</v>
      </c>
      <c r="F5" s="17" t="s">
        <v>73</v>
      </c>
      <c r="G5" s="17" t="s">
        <v>103</v>
      </c>
      <c r="H5">
        <v>3200</v>
      </c>
      <c r="I5">
        <v>16000</v>
      </c>
    </row>
    <row r="6" spans="1:9" x14ac:dyDescent="0.3">
      <c r="A6" s="15">
        <v>46026</v>
      </c>
      <c r="B6">
        <v>1004</v>
      </c>
      <c r="C6" s="17" t="s">
        <v>9</v>
      </c>
      <c r="D6">
        <v>6</v>
      </c>
      <c r="E6" s="17" t="s">
        <v>39</v>
      </c>
      <c r="F6" s="17" t="s">
        <v>74</v>
      </c>
      <c r="G6" s="17" t="s">
        <v>104</v>
      </c>
      <c r="H6">
        <v>150</v>
      </c>
      <c r="I6">
        <v>900</v>
      </c>
    </row>
    <row r="7" spans="1:9" x14ac:dyDescent="0.3">
      <c r="A7" s="15">
        <v>46027</v>
      </c>
      <c r="B7">
        <v>1005</v>
      </c>
      <c r="C7" s="17" t="s">
        <v>10</v>
      </c>
      <c r="D7">
        <v>7</v>
      </c>
      <c r="E7" s="17" t="s">
        <v>40</v>
      </c>
      <c r="F7" s="17" t="s">
        <v>75</v>
      </c>
      <c r="G7" s="17" t="s">
        <v>104</v>
      </c>
      <c r="H7">
        <v>30</v>
      </c>
      <c r="I7">
        <v>210</v>
      </c>
    </row>
    <row r="8" spans="1:9" x14ac:dyDescent="0.3">
      <c r="A8" s="15">
        <v>46028</v>
      </c>
      <c r="B8">
        <v>1006</v>
      </c>
      <c r="C8" s="17" t="s">
        <v>11</v>
      </c>
      <c r="D8">
        <v>2</v>
      </c>
      <c r="E8" s="17" t="s">
        <v>41</v>
      </c>
      <c r="F8" s="17" t="s">
        <v>76</v>
      </c>
      <c r="G8" s="17" t="s">
        <v>104</v>
      </c>
      <c r="H8">
        <v>250</v>
      </c>
      <c r="I8">
        <v>500</v>
      </c>
    </row>
    <row r="9" spans="1:9" x14ac:dyDescent="0.3">
      <c r="A9" s="15">
        <v>46029</v>
      </c>
      <c r="B9">
        <v>1007</v>
      </c>
      <c r="C9" s="17" t="s">
        <v>12</v>
      </c>
      <c r="D9">
        <v>4</v>
      </c>
      <c r="E9" s="17" t="s">
        <v>42</v>
      </c>
      <c r="F9" s="17" t="s">
        <v>77</v>
      </c>
      <c r="G9" s="17" t="s">
        <v>103</v>
      </c>
      <c r="H9">
        <v>900</v>
      </c>
      <c r="I9">
        <v>3600</v>
      </c>
    </row>
    <row r="10" spans="1:9" x14ac:dyDescent="0.3">
      <c r="A10" s="15">
        <v>46030</v>
      </c>
      <c r="B10">
        <v>1008</v>
      </c>
      <c r="C10" s="17" t="s">
        <v>13</v>
      </c>
      <c r="D10">
        <v>3</v>
      </c>
      <c r="E10" s="17" t="s">
        <v>43</v>
      </c>
      <c r="F10" s="17" t="s">
        <v>78</v>
      </c>
      <c r="G10" s="17" t="s">
        <v>104</v>
      </c>
      <c r="H10">
        <v>200</v>
      </c>
      <c r="I10">
        <v>600</v>
      </c>
    </row>
    <row r="11" spans="1:9" x14ac:dyDescent="0.3">
      <c r="A11" s="15">
        <v>46031</v>
      </c>
      <c r="B11">
        <v>1009</v>
      </c>
      <c r="C11" s="17" t="s">
        <v>14</v>
      </c>
      <c r="D11">
        <v>6</v>
      </c>
      <c r="E11" s="17" t="s">
        <v>44</v>
      </c>
      <c r="F11" s="17" t="s">
        <v>79</v>
      </c>
      <c r="G11" s="17" t="s">
        <v>103</v>
      </c>
      <c r="H11">
        <v>180</v>
      </c>
      <c r="I11">
        <v>1080</v>
      </c>
    </row>
    <row r="12" spans="1:9" x14ac:dyDescent="0.3">
      <c r="A12" s="15">
        <v>46032</v>
      </c>
      <c r="B12">
        <v>1010</v>
      </c>
      <c r="C12" s="17" t="s">
        <v>15</v>
      </c>
      <c r="D12">
        <v>5</v>
      </c>
      <c r="E12" s="17" t="s">
        <v>45</v>
      </c>
      <c r="F12" s="17" t="s">
        <v>80</v>
      </c>
      <c r="G12" s="17" t="s">
        <v>105</v>
      </c>
      <c r="H12">
        <v>1200</v>
      </c>
      <c r="I12">
        <v>6000</v>
      </c>
    </row>
    <row r="13" spans="1:9" x14ac:dyDescent="0.3">
      <c r="A13" s="15">
        <v>46033</v>
      </c>
      <c r="B13">
        <v>1011</v>
      </c>
      <c r="C13" s="17" t="s">
        <v>16</v>
      </c>
      <c r="D13">
        <v>4</v>
      </c>
      <c r="E13" s="17" t="s">
        <v>46</v>
      </c>
      <c r="F13" s="17" t="s">
        <v>81</v>
      </c>
      <c r="G13" s="17" t="s">
        <v>105</v>
      </c>
      <c r="H13">
        <v>450</v>
      </c>
      <c r="I13">
        <v>1800</v>
      </c>
    </row>
    <row r="14" spans="1:9" x14ac:dyDescent="0.3">
      <c r="A14" s="15">
        <v>46034</v>
      </c>
      <c r="B14">
        <v>1012</v>
      </c>
      <c r="C14" s="17" t="s">
        <v>17</v>
      </c>
      <c r="D14">
        <v>9</v>
      </c>
      <c r="E14" s="17" t="s">
        <v>47</v>
      </c>
      <c r="F14" s="17" t="s">
        <v>82</v>
      </c>
      <c r="G14" s="17" t="s">
        <v>102</v>
      </c>
      <c r="H14">
        <v>1500</v>
      </c>
      <c r="I14">
        <v>13500</v>
      </c>
    </row>
    <row r="15" spans="1:9" x14ac:dyDescent="0.3">
      <c r="A15" s="15">
        <v>46035</v>
      </c>
      <c r="B15">
        <v>1013</v>
      </c>
      <c r="C15" s="17" t="s">
        <v>18</v>
      </c>
      <c r="D15">
        <v>8</v>
      </c>
      <c r="E15" s="17" t="s">
        <v>48</v>
      </c>
      <c r="F15" s="17" t="s">
        <v>83</v>
      </c>
      <c r="G15" s="17" t="s">
        <v>102</v>
      </c>
      <c r="H15">
        <v>4000</v>
      </c>
      <c r="I15">
        <v>32000</v>
      </c>
    </row>
    <row r="16" spans="1:9" x14ac:dyDescent="0.3">
      <c r="A16" s="15">
        <v>46036</v>
      </c>
      <c r="B16">
        <v>1014</v>
      </c>
      <c r="C16" s="17" t="s">
        <v>19</v>
      </c>
      <c r="D16">
        <v>7</v>
      </c>
      <c r="E16" s="17" t="s">
        <v>49</v>
      </c>
      <c r="F16" s="17" t="s">
        <v>84</v>
      </c>
      <c r="G16" s="17" t="s">
        <v>104</v>
      </c>
      <c r="H16">
        <v>80</v>
      </c>
      <c r="I16">
        <v>560</v>
      </c>
    </row>
    <row r="17" spans="1:9" x14ac:dyDescent="0.3">
      <c r="A17" s="15">
        <v>46037</v>
      </c>
      <c r="B17">
        <v>1015</v>
      </c>
      <c r="C17" s="17" t="s">
        <v>20</v>
      </c>
      <c r="D17">
        <v>10</v>
      </c>
      <c r="E17" s="17" t="s">
        <v>50</v>
      </c>
      <c r="F17" s="17" t="s">
        <v>85</v>
      </c>
      <c r="G17" s="17" t="s">
        <v>104</v>
      </c>
      <c r="H17">
        <v>50</v>
      </c>
      <c r="I17">
        <v>500</v>
      </c>
    </row>
    <row r="18" spans="1:9" x14ac:dyDescent="0.3">
      <c r="A18" s="15">
        <v>46038</v>
      </c>
      <c r="B18">
        <v>1016</v>
      </c>
      <c r="C18" s="17" t="s">
        <v>21</v>
      </c>
      <c r="D18">
        <v>11</v>
      </c>
      <c r="E18" s="17" t="s">
        <v>51</v>
      </c>
      <c r="F18" s="17" t="s">
        <v>86</v>
      </c>
      <c r="G18" s="17" t="s">
        <v>104</v>
      </c>
      <c r="H18">
        <v>100</v>
      </c>
      <c r="I18">
        <v>1100</v>
      </c>
    </row>
    <row r="19" spans="1:9" x14ac:dyDescent="0.3">
      <c r="A19" s="15">
        <v>46039</v>
      </c>
      <c r="B19">
        <v>1017</v>
      </c>
      <c r="C19" s="17" t="s">
        <v>22</v>
      </c>
      <c r="D19">
        <v>22</v>
      </c>
      <c r="E19" s="17" t="s">
        <v>52</v>
      </c>
      <c r="F19" s="17" t="s">
        <v>87</v>
      </c>
      <c r="G19" s="17" t="s">
        <v>106</v>
      </c>
      <c r="H19">
        <v>300</v>
      </c>
      <c r="I19">
        <v>6600</v>
      </c>
    </row>
    <row r="20" spans="1:9" x14ac:dyDescent="0.3">
      <c r="A20" s="15">
        <v>46040</v>
      </c>
      <c r="B20">
        <v>1018</v>
      </c>
      <c r="C20" s="17" t="s">
        <v>23</v>
      </c>
      <c r="D20">
        <v>54</v>
      </c>
      <c r="E20" s="17" t="s">
        <v>53</v>
      </c>
      <c r="F20" s="17" t="s">
        <v>88</v>
      </c>
      <c r="G20" s="17" t="s">
        <v>106</v>
      </c>
      <c r="H20">
        <v>250</v>
      </c>
      <c r="I20">
        <v>13500</v>
      </c>
    </row>
    <row r="21" spans="1:9" x14ac:dyDescent="0.3">
      <c r="A21" s="15">
        <v>46041</v>
      </c>
      <c r="B21">
        <v>1019</v>
      </c>
      <c r="C21" s="17" t="s">
        <v>24</v>
      </c>
      <c r="D21">
        <v>9</v>
      </c>
      <c r="E21" s="17" t="s">
        <v>54</v>
      </c>
      <c r="F21" s="17" t="s">
        <v>89</v>
      </c>
      <c r="G21" s="17" t="s">
        <v>107</v>
      </c>
      <c r="H21">
        <v>800</v>
      </c>
      <c r="I21">
        <v>7200</v>
      </c>
    </row>
    <row r="22" spans="1:9" x14ac:dyDescent="0.3">
      <c r="A22" s="15">
        <v>46042</v>
      </c>
      <c r="B22">
        <v>1020</v>
      </c>
      <c r="C22" s="17" t="s">
        <v>25</v>
      </c>
      <c r="D22">
        <v>15</v>
      </c>
      <c r="E22" s="17" t="s">
        <v>55</v>
      </c>
      <c r="F22" s="17" t="s">
        <v>90</v>
      </c>
      <c r="G22" s="17" t="s">
        <v>107</v>
      </c>
      <c r="H22">
        <v>200</v>
      </c>
      <c r="I22">
        <v>3000</v>
      </c>
    </row>
    <row r="23" spans="1:9" x14ac:dyDescent="0.3">
      <c r="A23" s="15">
        <v>46043</v>
      </c>
      <c r="B23">
        <v>1021</v>
      </c>
      <c r="C23" s="17" t="s">
        <v>26</v>
      </c>
      <c r="D23">
        <v>16</v>
      </c>
      <c r="E23" s="17" t="s">
        <v>56</v>
      </c>
      <c r="F23" s="17" t="s">
        <v>91</v>
      </c>
      <c r="G23" s="17" t="s">
        <v>103</v>
      </c>
      <c r="H23">
        <v>350</v>
      </c>
      <c r="I23">
        <v>5600</v>
      </c>
    </row>
    <row r="24" spans="1:9" x14ac:dyDescent="0.3">
      <c r="A24" s="15">
        <v>46044</v>
      </c>
      <c r="B24">
        <v>1022</v>
      </c>
      <c r="C24" s="17" t="s">
        <v>27</v>
      </c>
      <c r="D24">
        <v>17</v>
      </c>
      <c r="E24" s="17" t="s">
        <v>57</v>
      </c>
      <c r="F24" s="17" t="s">
        <v>92</v>
      </c>
      <c r="G24" s="17" t="s">
        <v>103</v>
      </c>
      <c r="H24">
        <v>280</v>
      </c>
      <c r="I24">
        <v>4760</v>
      </c>
    </row>
    <row r="25" spans="1:9" x14ac:dyDescent="0.3">
      <c r="A25" s="15">
        <v>46045</v>
      </c>
      <c r="B25">
        <v>1023</v>
      </c>
      <c r="C25" s="17" t="s">
        <v>28</v>
      </c>
      <c r="D25">
        <v>19</v>
      </c>
      <c r="E25" s="17" t="s">
        <v>58</v>
      </c>
      <c r="F25" s="17" t="s">
        <v>93</v>
      </c>
      <c r="G25" s="17" t="s">
        <v>108</v>
      </c>
      <c r="H25">
        <v>220</v>
      </c>
      <c r="I25">
        <v>4180</v>
      </c>
    </row>
    <row r="26" spans="1:9" x14ac:dyDescent="0.3">
      <c r="A26" s="15">
        <v>46046</v>
      </c>
      <c r="B26">
        <v>1024</v>
      </c>
      <c r="C26" s="17" t="s">
        <v>29</v>
      </c>
      <c r="D26">
        <v>22</v>
      </c>
      <c r="E26" s="17" t="s">
        <v>59</v>
      </c>
      <c r="F26" s="17" t="s">
        <v>94</v>
      </c>
      <c r="G26" s="17" t="s">
        <v>108</v>
      </c>
      <c r="H26">
        <v>120</v>
      </c>
      <c r="I26">
        <v>2640</v>
      </c>
    </row>
    <row r="27" spans="1:9" x14ac:dyDescent="0.3">
      <c r="A27" s="15">
        <v>46047</v>
      </c>
      <c r="B27">
        <v>1025</v>
      </c>
      <c r="C27" s="17" t="s">
        <v>30</v>
      </c>
      <c r="D27">
        <v>44</v>
      </c>
      <c r="E27" s="17" t="s">
        <v>60</v>
      </c>
      <c r="F27" s="17" t="s">
        <v>95</v>
      </c>
      <c r="G27" s="17" t="s">
        <v>103</v>
      </c>
      <c r="H27">
        <v>850</v>
      </c>
      <c r="I27">
        <v>37400</v>
      </c>
    </row>
    <row r="28" spans="1:9" x14ac:dyDescent="0.3">
      <c r="A28" s="15">
        <v>46048</v>
      </c>
      <c r="B28">
        <v>1026</v>
      </c>
      <c r="C28" s="17" t="s">
        <v>31</v>
      </c>
      <c r="D28">
        <v>23</v>
      </c>
      <c r="E28" s="17" t="s">
        <v>61</v>
      </c>
      <c r="F28" s="17" t="s">
        <v>96</v>
      </c>
      <c r="G28" s="17" t="s">
        <v>109</v>
      </c>
      <c r="H28">
        <v>90</v>
      </c>
      <c r="I28">
        <v>2070</v>
      </c>
    </row>
    <row r="29" spans="1:9" x14ac:dyDescent="0.3">
      <c r="A29" s="15">
        <v>46049</v>
      </c>
      <c r="B29">
        <v>1027</v>
      </c>
      <c r="C29" s="17" t="s">
        <v>32</v>
      </c>
      <c r="D29">
        <v>18</v>
      </c>
      <c r="E29" s="17" t="s">
        <v>62</v>
      </c>
      <c r="F29" s="17" t="s">
        <v>97</v>
      </c>
      <c r="G29" s="17" t="s">
        <v>109</v>
      </c>
      <c r="H29">
        <v>25</v>
      </c>
      <c r="I29">
        <v>450</v>
      </c>
    </row>
    <row r="30" spans="1:9" x14ac:dyDescent="0.3">
      <c r="A30" s="15">
        <v>46050</v>
      </c>
      <c r="B30">
        <v>1028</v>
      </c>
      <c r="C30" s="17" t="s">
        <v>33</v>
      </c>
      <c r="D30">
        <v>17</v>
      </c>
      <c r="E30" s="17" t="s">
        <v>63</v>
      </c>
      <c r="F30" s="17" t="s">
        <v>98</v>
      </c>
      <c r="G30" s="17" t="s">
        <v>104</v>
      </c>
      <c r="H30">
        <v>60</v>
      </c>
      <c r="I30">
        <v>1020</v>
      </c>
    </row>
    <row r="31" spans="1:9" x14ac:dyDescent="0.3">
      <c r="A31" s="15">
        <v>46051</v>
      </c>
      <c r="B31">
        <v>1029</v>
      </c>
      <c r="C31" s="17" t="s">
        <v>34</v>
      </c>
      <c r="D31">
        <v>18</v>
      </c>
      <c r="E31" s="17" t="s">
        <v>64</v>
      </c>
      <c r="F31" s="17" t="s">
        <v>99</v>
      </c>
      <c r="G31" s="17" t="s">
        <v>104</v>
      </c>
      <c r="H31">
        <v>180</v>
      </c>
      <c r="I31">
        <v>3240</v>
      </c>
    </row>
    <row r="32" spans="1:9" x14ac:dyDescent="0.3">
      <c r="A32" s="15">
        <v>46052</v>
      </c>
      <c r="B32">
        <v>1030</v>
      </c>
      <c r="C32" s="17" t="s">
        <v>35</v>
      </c>
      <c r="D32">
        <v>19</v>
      </c>
      <c r="E32" s="17" t="s">
        <v>65</v>
      </c>
      <c r="F32" s="17" t="s">
        <v>100</v>
      </c>
      <c r="G32" s="17" t="s">
        <v>104</v>
      </c>
      <c r="H32">
        <v>70</v>
      </c>
      <c r="I32">
        <v>1330</v>
      </c>
    </row>
    <row r="33" spans="1:9" x14ac:dyDescent="0.3">
      <c r="A33" s="15">
        <v>46053</v>
      </c>
      <c r="B33">
        <v>1031</v>
      </c>
      <c r="C33" s="17" t="s">
        <v>36</v>
      </c>
      <c r="D33">
        <v>22</v>
      </c>
      <c r="E33" s="17" t="s">
        <v>66</v>
      </c>
      <c r="F33" s="17" t="s">
        <v>101</v>
      </c>
      <c r="G33" s="17" t="s">
        <v>110</v>
      </c>
      <c r="H33">
        <v>45</v>
      </c>
      <c r="I33">
        <v>990</v>
      </c>
    </row>
    <row r="34" spans="1:9" x14ac:dyDescent="0.3">
      <c r="A34" s="15">
        <v>46058</v>
      </c>
      <c r="B34">
        <v>2002</v>
      </c>
      <c r="C34" s="17" t="s">
        <v>8</v>
      </c>
      <c r="D34">
        <v>2</v>
      </c>
      <c r="E34" s="17" t="s">
        <v>116</v>
      </c>
      <c r="F34" s="17" t="s">
        <v>73</v>
      </c>
      <c r="G34" s="17" t="s">
        <v>103</v>
      </c>
      <c r="H34">
        <v>3200</v>
      </c>
      <c r="I34">
        <v>6400</v>
      </c>
    </row>
    <row r="35" spans="1:9" x14ac:dyDescent="0.3">
      <c r="A35" s="15">
        <v>46063</v>
      </c>
      <c r="B35">
        <v>2003</v>
      </c>
      <c r="C35" s="17" t="s">
        <v>10</v>
      </c>
      <c r="D35">
        <v>15</v>
      </c>
      <c r="E35" s="17" t="s">
        <v>117</v>
      </c>
      <c r="F35" s="17" t="s">
        <v>75</v>
      </c>
      <c r="G35" s="17" t="s">
        <v>104</v>
      </c>
      <c r="H35">
        <v>30</v>
      </c>
      <c r="I35">
        <v>450</v>
      </c>
    </row>
    <row r="36" spans="1:9" x14ac:dyDescent="0.3">
      <c r="A36" s="15">
        <v>46068</v>
      </c>
      <c r="B36">
        <v>2004</v>
      </c>
      <c r="C36" s="17" t="s">
        <v>7</v>
      </c>
      <c r="D36">
        <v>4</v>
      </c>
      <c r="E36" s="17" t="s">
        <v>6</v>
      </c>
      <c r="F36" s="17" t="s">
        <v>72</v>
      </c>
      <c r="G36" s="17" t="s">
        <v>102</v>
      </c>
      <c r="H36">
        <v>4500</v>
      </c>
      <c r="I36">
        <v>18000</v>
      </c>
    </row>
    <row r="37" spans="1:9" x14ac:dyDescent="0.3">
      <c r="A37" s="15">
        <v>46073</v>
      </c>
      <c r="B37">
        <v>2005</v>
      </c>
      <c r="C37" s="17" t="s">
        <v>5</v>
      </c>
      <c r="D37">
        <v>1</v>
      </c>
      <c r="E37" s="17" t="s">
        <v>37</v>
      </c>
      <c r="F37" s="17" t="s">
        <v>71</v>
      </c>
      <c r="G37" s="17" t="s">
        <v>102</v>
      </c>
      <c r="H37">
        <v>5000</v>
      </c>
      <c r="I37">
        <v>5000</v>
      </c>
    </row>
    <row r="38" spans="1:9" x14ac:dyDescent="0.3">
      <c r="A38" s="15">
        <v>46082</v>
      </c>
      <c r="B38">
        <v>3001</v>
      </c>
      <c r="C38" s="17" t="s">
        <v>9</v>
      </c>
      <c r="D38">
        <v>5</v>
      </c>
      <c r="E38" s="17" t="s">
        <v>118</v>
      </c>
      <c r="F38" s="17" t="s">
        <v>74</v>
      </c>
      <c r="G38" s="17" t="s">
        <v>104</v>
      </c>
      <c r="H38">
        <v>150</v>
      </c>
      <c r="I38">
        <v>750</v>
      </c>
    </row>
    <row r="39" spans="1:9" x14ac:dyDescent="0.3">
      <c r="A39" s="15">
        <v>46086</v>
      </c>
      <c r="B39">
        <v>3002</v>
      </c>
      <c r="C39" s="17" t="s">
        <v>5</v>
      </c>
      <c r="D39">
        <v>2</v>
      </c>
      <c r="E39" s="17" t="s">
        <v>117</v>
      </c>
      <c r="F39" s="17" t="s">
        <v>71</v>
      </c>
      <c r="G39" s="17" t="s">
        <v>102</v>
      </c>
      <c r="H39">
        <v>5000</v>
      </c>
      <c r="I39">
        <v>10000</v>
      </c>
    </row>
    <row r="40" spans="1:9" x14ac:dyDescent="0.3">
      <c r="A40" s="15">
        <v>46091</v>
      </c>
      <c r="B40">
        <v>3003</v>
      </c>
      <c r="C40" s="17" t="s">
        <v>8</v>
      </c>
      <c r="D40">
        <v>3</v>
      </c>
      <c r="E40" s="17" t="s">
        <v>6</v>
      </c>
      <c r="F40" s="17" t="s">
        <v>73</v>
      </c>
      <c r="G40" s="17" t="s">
        <v>103</v>
      </c>
      <c r="H40">
        <v>3200</v>
      </c>
      <c r="I40">
        <v>9600</v>
      </c>
    </row>
    <row r="41" spans="1:9" x14ac:dyDescent="0.3">
      <c r="A41" s="15">
        <v>46096</v>
      </c>
      <c r="B41">
        <v>3004</v>
      </c>
      <c r="C41" s="17" t="s">
        <v>7</v>
      </c>
      <c r="D41">
        <v>6</v>
      </c>
      <c r="E41" s="17" t="s">
        <v>116</v>
      </c>
      <c r="F41" s="17" t="s">
        <v>72</v>
      </c>
      <c r="G41" s="17" t="s">
        <v>102</v>
      </c>
      <c r="H41">
        <v>4500</v>
      </c>
      <c r="I41">
        <v>27000</v>
      </c>
    </row>
    <row r="42" spans="1:9" x14ac:dyDescent="0.3">
      <c r="A42" s="15">
        <v>46101</v>
      </c>
      <c r="B42">
        <v>3005</v>
      </c>
      <c r="C42" s="17" t="s">
        <v>15</v>
      </c>
      <c r="D42">
        <v>1</v>
      </c>
      <c r="E42" s="17" t="s">
        <v>6</v>
      </c>
      <c r="F42" s="17" t="s">
        <v>80</v>
      </c>
      <c r="G42" s="17" t="s">
        <v>105</v>
      </c>
      <c r="H42">
        <v>1200</v>
      </c>
      <c r="I42">
        <v>1200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235E-0AAD-4504-8FE7-1BBCB66DAE97}">
  <dimension ref="A1:E32"/>
  <sheetViews>
    <sheetView workbookViewId="0">
      <selection activeCell="A2" sqref="A2"/>
    </sheetView>
  </sheetViews>
  <sheetFormatPr defaultRowHeight="14.4" x14ac:dyDescent="0.3"/>
  <cols>
    <col min="1" max="1" width="15.44140625" customWidth="1"/>
    <col min="2" max="2" width="17.6640625" customWidth="1"/>
    <col min="3" max="3" width="13.21875" customWidth="1"/>
    <col min="4" max="4" width="14" customWidth="1"/>
    <col min="5" max="5" width="14.77734375" customWidth="1"/>
  </cols>
  <sheetData>
    <row r="1" spans="1:5" x14ac:dyDescent="0.3">
      <c r="A1" s="6" t="s">
        <v>2</v>
      </c>
      <c r="B1" s="7" t="s">
        <v>67</v>
      </c>
      <c r="C1" s="7" t="s">
        <v>68</v>
      </c>
      <c r="D1" s="7" t="s">
        <v>69</v>
      </c>
      <c r="E1" s="8" t="s">
        <v>70</v>
      </c>
    </row>
    <row r="2" spans="1:5" x14ac:dyDescent="0.3">
      <c r="A2" s="4" t="s">
        <v>5</v>
      </c>
      <c r="B2" s="1" t="s">
        <v>71</v>
      </c>
      <c r="C2" s="1" t="s">
        <v>102</v>
      </c>
      <c r="D2" s="1">
        <v>5000</v>
      </c>
      <c r="E2" s="5">
        <v>3500</v>
      </c>
    </row>
    <row r="3" spans="1:5" x14ac:dyDescent="0.3">
      <c r="A3" s="4" t="s">
        <v>7</v>
      </c>
      <c r="B3" s="1" t="s">
        <v>72</v>
      </c>
      <c r="C3" s="1" t="s">
        <v>102</v>
      </c>
      <c r="D3" s="1">
        <v>4500</v>
      </c>
      <c r="E3" s="5">
        <v>3000</v>
      </c>
    </row>
    <row r="4" spans="1:5" x14ac:dyDescent="0.3">
      <c r="A4" s="4" t="s">
        <v>8</v>
      </c>
      <c r="B4" s="1" t="s">
        <v>73</v>
      </c>
      <c r="C4" s="1" t="s">
        <v>103</v>
      </c>
      <c r="D4" s="1">
        <v>3200</v>
      </c>
      <c r="E4" s="5">
        <v>2000</v>
      </c>
    </row>
    <row r="5" spans="1:5" x14ac:dyDescent="0.3">
      <c r="A5" s="4" t="s">
        <v>9</v>
      </c>
      <c r="B5" s="1" t="s">
        <v>74</v>
      </c>
      <c r="C5" s="1" t="s">
        <v>104</v>
      </c>
      <c r="D5" s="1">
        <v>150</v>
      </c>
      <c r="E5" s="5">
        <v>50</v>
      </c>
    </row>
    <row r="6" spans="1:5" x14ac:dyDescent="0.3">
      <c r="A6" s="4" t="s">
        <v>10</v>
      </c>
      <c r="B6" s="1" t="s">
        <v>75</v>
      </c>
      <c r="C6" s="1" t="s">
        <v>104</v>
      </c>
      <c r="D6" s="1">
        <v>30</v>
      </c>
      <c r="E6" s="5">
        <v>5</v>
      </c>
    </row>
    <row r="7" spans="1:5" x14ac:dyDescent="0.3">
      <c r="A7" s="4" t="s">
        <v>11</v>
      </c>
      <c r="B7" s="1" t="s">
        <v>76</v>
      </c>
      <c r="C7" s="1" t="s">
        <v>104</v>
      </c>
      <c r="D7" s="1">
        <v>250</v>
      </c>
      <c r="E7" s="5">
        <v>120</v>
      </c>
    </row>
    <row r="8" spans="1:5" x14ac:dyDescent="0.3">
      <c r="A8" s="4" t="s">
        <v>12</v>
      </c>
      <c r="B8" s="1" t="s">
        <v>77</v>
      </c>
      <c r="C8" s="1" t="s">
        <v>103</v>
      </c>
      <c r="D8" s="1">
        <v>900</v>
      </c>
      <c r="E8" s="5">
        <v>600</v>
      </c>
    </row>
    <row r="9" spans="1:5" x14ac:dyDescent="0.3">
      <c r="A9" s="4" t="s">
        <v>13</v>
      </c>
      <c r="B9" s="1" t="s">
        <v>78</v>
      </c>
      <c r="C9" s="1" t="s">
        <v>104</v>
      </c>
      <c r="D9" s="1">
        <v>200</v>
      </c>
      <c r="E9" s="5">
        <v>90</v>
      </c>
    </row>
    <row r="10" spans="1:5" x14ac:dyDescent="0.3">
      <c r="A10" s="4" t="s">
        <v>14</v>
      </c>
      <c r="B10" s="1" t="s">
        <v>79</v>
      </c>
      <c r="C10" s="1" t="s">
        <v>103</v>
      </c>
      <c r="D10" s="1">
        <v>180</v>
      </c>
      <c r="E10" s="5">
        <v>80</v>
      </c>
    </row>
    <row r="11" spans="1:5" x14ac:dyDescent="0.3">
      <c r="A11" s="4" t="s">
        <v>15</v>
      </c>
      <c r="B11" s="1" t="s">
        <v>80</v>
      </c>
      <c r="C11" s="1" t="s">
        <v>105</v>
      </c>
      <c r="D11" s="1">
        <v>1200</v>
      </c>
      <c r="E11" s="5">
        <v>700</v>
      </c>
    </row>
    <row r="12" spans="1:5" x14ac:dyDescent="0.3">
      <c r="A12" s="4" t="s">
        <v>16</v>
      </c>
      <c r="B12" s="1" t="s">
        <v>81</v>
      </c>
      <c r="C12" s="1" t="s">
        <v>105</v>
      </c>
      <c r="D12" s="1">
        <v>450</v>
      </c>
      <c r="E12" s="5">
        <v>250</v>
      </c>
    </row>
    <row r="13" spans="1:5" x14ac:dyDescent="0.3">
      <c r="A13" s="4" t="s">
        <v>17</v>
      </c>
      <c r="B13" s="1" t="s">
        <v>82</v>
      </c>
      <c r="C13" s="1" t="s">
        <v>102</v>
      </c>
      <c r="D13" s="1">
        <v>1500</v>
      </c>
      <c r="E13" s="5">
        <v>1000</v>
      </c>
    </row>
    <row r="14" spans="1:5" x14ac:dyDescent="0.3">
      <c r="A14" s="4" t="s">
        <v>18</v>
      </c>
      <c r="B14" s="1" t="s">
        <v>83</v>
      </c>
      <c r="C14" s="1" t="s">
        <v>102</v>
      </c>
      <c r="D14" s="1">
        <v>4000</v>
      </c>
      <c r="E14" s="5">
        <v>3100</v>
      </c>
    </row>
    <row r="15" spans="1:5" x14ac:dyDescent="0.3">
      <c r="A15" s="4" t="s">
        <v>19</v>
      </c>
      <c r="B15" s="1" t="s">
        <v>84</v>
      </c>
      <c r="C15" s="1" t="s">
        <v>104</v>
      </c>
      <c r="D15" s="1">
        <v>80</v>
      </c>
      <c r="E15" s="5">
        <v>20</v>
      </c>
    </row>
    <row r="16" spans="1:5" x14ac:dyDescent="0.3">
      <c r="A16" s="4" t="s">
        <v>20</v>
      </c>
      <c r="B16" s="1" t="s">
        <v>85</v>
      </c>
      <c r="C16" s="1" t="s">
        <v>104</v>
      </c>
      <c r="D16" s="1">
        <v>50</v>
      </c>
      <c r="E16" s="5">
        <v>10</v>
      </c>
    </row>
    <row r="17" spans="1:5" x14ac:dyDescent="0.3">
      <c r="A17" s="4" t="s">
        <v>21</v>
      </c>
      <c r="B17" s="1" t="s">
        <v>86</v>
      </c>
      <c r="C17" s="1" t="s">
        <v>104</v>
      </c>
      <c r="D17" s="1">
        <v>100</v>
      </c>
      <c r="E17" s="5">
        <v>40</v>
      </c>
    </row>
    <row r="18" spans="1:5" x14ac:dyDescent="0.3">
      <c r="A18" s="4" t="s">
        <v>22</v>
      </c>
      <c r="B18" s="1" t="s">
        <v>87</v>
      </c>
      <c r="C18" s="1" t="s">
        <v>106</v>
      </c>
      <c r="D18" s="1">
        <v>300</v>
      </c>
      <c r="E18" s="5">
        <v>150</v>
      </c>
    </row>
    <row r="19" spans="1:5" x14ac:dyDescent="0.3">
      <c r="A19" s="4" t="s">
        <v>23</v>
      </c>
      <c r="B19" s="1" t="s">
        <v>88</v>
      </c>
      <c r="C19" s="1" t="s">
        <v>106</v>
      </c>
      <c r="D19" s="1">
        <v>250</v>
      </c>
      <c r="E19" s="5">
        <v>100</v>
      </c>
    </row>
    <row r="20" spans="1:5" x14ac:dyDescent="0.3">
      <c r="A20" s="4" t="s">
        <v>24</v>
      </c>
      <c r="B20" s="1" t="s">
        <v>89</v>
      </c>
      <c r="C20" s="1" t="s">
        <v>107</v>
      </c>
      <c r="D20" s="1">
        <v>800</v>
      </c>
      <c r="E20" s="5">
        <v>400</v>
      </c>
    </row>
    <row r="21" spans="1:5" x14ac:dyDescent="0.3">
      <c r="A21" s="4" t="s">
        <v>25</v>
      </c>
      <c r="B21" s="1" t="s">
        <v>90</v>
      </c>
      <c r="C21" s="1" t="s">
        <v>107</v>
      </c>
      <c r="D21" s="1">
        <v>200</v>
      </c>
      <c r="E21" s="5">
        <v>80</v>
      </c>
    </row>
    <row r="22" spans="1:5" x14ac:dyDescent="0.3">
      <c r="A22" s="4" t="s">
        <v>26</v>
      </c>
      <c r="B22" s="1" t="s">
        <v>91</v>
      </c>
      <c r="C22" s="1" t="s">
        <v>103</v>
      </c>
      <c r="D22" s="1">
        <v>350</v>
      </c>
      <c r="E22" s="5">
        <v>200</v>
      </c>
    </row>
    <row r="23" spans="1:5" x14ac:dyDescent="0.3">
      <c r="A23" s="4" t="s">
        <v>27</v>
      </c>
      <c r="B23" s="1" t="s">
        <v>92</v>
      </c>
      <c r="C23" s="1" t="s">
        <v>103</v>
      </c>
      <c r="D23" s="1">
        <v>280</v>
      </c>
      <c r="E23" s="5">
        <v>140</v>
      </c>
    </row>
    <row r="24" spans="1:5" x14ac:dyDescent="0.3">
      <c r="A24" s="4" t="s">
        <v>28</v>
      </c>
      <c r="B24" s="1" t="s">
        <v>93</v>
      </c>
      <c r="C24" s="1" t="s">
        <v>108</v>
      </c>
      <c r="D24" s="1">
        <v>220</v>
      </c>
      <c r="E24" s="5">
        <v>110</v>
      </c>
    </row>
    <row r="25" spans="1:5" x14ac:dyDescent="0.3">
      <c r="A25" s="4" t="s">
        <v>29</v>
      </c>
      <c r="B25" s="1" t="s">
        <v>94</v>
      </c>
      <c r="C25" s="1" t="s">
        <v>108</v>
      </c>
      <c r="D25" s="1">
        <v>120</v>
      </c>
      <c r="E25" s="5">
        <v>50</v>
      </c>
    </row>
    <row r="26" spans="1:5" x14ac:dyDescent="0.3">
      <c r="A26" s="4" t="s">
        <v>30</v>
      </c>
      <c r="B26" s="1" t="s">
        <v>95</v>
      </c>
      <c r="C26" s="1" t="s">
        <v>103</v>
      </c>
      <c r="D26" s="1">
        <v>850</v>
      </c>
      <c r="E26" s="5">
        <v>500</v>
      </c>
    </row>
    <row r="27" spans="1:5" x14ac:dyDescent="0.3">
      <c r="A27" s="4" t="s">
        <v>31</v>
      </c>
      <c r="B27" s="1" t="s">
        <v>96</v>
      </c>
      <c r="C27" s="1" t="s">
        <v>109</v>
      </c>
      <c r="D27" s="1">
        <v>90</v>
      </c>
      <c r="E27" s="5">
        <v>30</v>
      </c>
    </row>
    <row r="28" spans="1:5" x14ac:dyDescent="0.3">
      <c r="A28" s="4" t="s">
        <v>32</v>
      </c>
      <c r="B28" s="1" t="s">
        <v>97</v>
      </c>
      <c r="C28" s="1" t="s">
        <v>109</v>
      </c>
      <c r="D28" s="1">
        <v>25</v>
      </c>
      <c r="E28" s="5">
        <v>15</v>
      </c>
    </row>
    <row r="29" spans="1:5" x14ac:dyDescent="0.3">
      <c r="A29" s="4" t="s">
        <v>33</v>
      </c>
      <c r="B29" s="1" t="s">
        <v>98</v>
      </c>
      <c r="C29" s="1" t="s">
        <v>104</v>
      </c>
      <c r="D29" s="1">
        <v>60</v>
      </c>
      <c r="E29" s="5">
        <v>20</v>
      </c>
    </row>
    <row r="30" spans="1:5" x14ac:dyDescent="0.3">
      <c r="A30" s="4" t="s">
        <v>34</v>
      </c>
      <c r="B30" s="1" t="s">
        <v>99</v>
      </c>
      <c r="C30" s="1" t="s">
        <v>104</v>
      </c>
      <c r="D30" s="1">
        <v>180</v>
      </c>
      <c r="E30" s="5">
        <v>70</v>
      </c>
    </row>
    <row r="31" spans="1:5" x14ac:dyDescent="0.3">
      <c r="A31" s="4" t="s">
        <v>35</v>
      </c>
      <c r="B31" s="1" t="s">
        <v>100</v>
      </c>
      <c r="C31" s="1" t="s">
        <v>104</v>
      </c>
      <c r="D31" s="1">
        <v>70</v>
      </c>
      <c r="E31" s="5">
        <v>25</v>
      </c>
    </row>
    <row r="32" spans="1:5" x14ac:dyDescent="0.3">
      <c r="A32" s="9" t="s">
        <v>36</v>
      </c>
      <c r="B32" s="10" t="s">
        <v>101</v>
      </c>
      <c r="C32" s="10" t="s">
        <v>110</v>
      </c>
      <c r="D32" s="10">
        <v>45</v>
      </c>
      <c r="E32" s="11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280108-CB13-4D9C-9086-7A3A51AF5D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Calculos</vt:lpstr>
      <vt:lpstr>f_vendas</vt:lpstr>
      <vt:lpstr>Base_Dados</vt:lpstr>
      <vt:lpstr>d_produtos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2026-02-12T16:16:15Z</dcterms:created>
  <dcterms:modified xsi:type="dcterms:W3CDTF">2026-02-13T15:51:12Z</dcterms:modified>
</cp:coreProperties>
</file>