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8_{99D65971-60A5-422C-8990-93B12458178C}" xr6:coauthVersionLast="47" xr6:coauthVersionMax="47" xr10:uidLastSave="{00000000-0000-0000-0000-000000000000}"/>
  <bookViews>
    <workbookView xWindow="-120" yWindow="-16320" windowWidth="29040" windowHeight="15720" activeTab="1" xr2:uid="{C69F6796-E041-42A8-99AD-CAD1528496CD}"/>
  </bookViews>
  <sheets>
    <sheet name="Dia 11 - Limpeza de Dados." sheetId="1" r:id="rId1"/>
    <sheet name="12_Extracao_Dinamic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2" l="1"/>
  <c r="C17" i="2"/>
  <c r="C18" i="2"/>
  <c r="C19" i="2"/>
  <c r="C20" i="2"/>
  <c r="C21" i="2"/>
  <c r="C22" i="2"/>
  <c r="C23" i="2"/>
  <c r="C24" i="2"/>
  <c r="C25" i="2"/>
  <c r="B16" i="2"/>
  <c r="B17" i="2"/>
  <c r="B18" i="2"/>
  <c r="B19" i="2"/>
  <c r="B20" i="2"/>
  <c r="B21" i="2"/>
  <c r="B22" i="2"/>
  <c r="B23" i="2"/>
  <c r="B24" i="2"/>
  <c r="B25" i="2"/>
  <c r="C12" i="2"/>
  <c r="C13" i="2"/>
  <c r="C14" i="2"/>
  <c r="C15" i="2"/>
  <c r="B12" i="2"/>
  <c r="B13" i="2"/>
  <c r="B14" i="2"/>
  <c r="B15" i="2"/>
  <c r="C11" i="2"/>
  <c r="B11" i="2"/>
  <c r="B12" i="1"/>
  <c r="C12" i="1" s="1"/>
  <c r="B13" i="1"/>
  <c r="C13" i="1" s="1"/>
  <c r="B14" i="1"/>
  <c r="C14" i="1" s="1"/>
  <c r="B15" i="1"/>
  <c r="C15" i="1" s="1"/>
  <c r="B16" i="1"/>
  <c r="C16" i="1" s="1"/>
</calcChain>
</file>

<file path=xl/sharedStrings.xml><?xml version="1.0" encoding="utf-8"?>
<sst xmlns="http://schemas.openxmlformats.org/spreadsheetml/2006/main" count="28" uniqueCount="28">
  <si>
    <t>Nome Limpo (Tratado)</t>
  </si>
  <si>
    <t>ana clara</t>
  </si>
  <si>
    <t>CARLOS ALMEIDA</t>
  </si>
  <si>
    <t>joao silva</t>
  </si>
  <si>
    <t xml:space="preserve">Nome Sujo (Original) </t>
  </si>
  <si>
    <t>pEdRo sOuZa</t>
  </si>
  <si>
    <t>mariana</t>
  </si>
  <si>
    <t>E-mail Corporativo</t>
  </si>
  <si>
    <r>
      <rPr>
        <b/>
        <sz val="20"/>
        <color theme="1"/>
        <rFont val="Calibri"/>
        <family val="2"/>
        <scheme val="minor"/>
      </rPr>
      <t>Projeto: Higienização e Padronização de Dados de Clientes</t>
    </r>
    <r>
      <rPr>
        <sz val="20"/>
        <color theme="1"/>
        <rFont val="Calibri"/>
        <family val="2"/>
        <scheme val="minor"/>
      </rPr>
      <t>.</t>
    </r>
  </si>
  <si>
    <t>Nome Completo</t>
  </si>
  <si>
    <t>Primeiro Nome</t>
  </si>
  <si>
    <t>Sobrenome</t>
  </si>
  <si>
    <t>Ana Silva</t>
  </si>
  <si>
    <t>Roberto Carlos</t>
  </si>
  <si>
    <t>Jéssica Rocha</t>
  </si>
  <si>
    <t xml:space="preserve">Maria Eduarda </t>
  </si>
  <si>
    <t xml:space="preserve">Diego Souza </t>
  </si>
  <si>
    <t>Projeto: Extração Automática e Segmentação de Nomes</t>
  </si>
  <si>
    <t>Amanda Nunes</t>
  </si>
  <si>
    <t>Bruno Mars</t>
  </si>
  <si>
    <t>Camila Queiroz</t>
  </si>
  <si>
    <t>Daniel Alves</t>
  </si>
  <si>
    <t>Eliana Michaelichen</t>
  </si>
  <si>
    <t>Fabio Porchat</t>
  </si>
  <si>
    <t>Gabriela Prioli</t>
  </si>
  <si>
    <t>Hugo Gloss</t>
  </si>
  <si>
    <t>Ivete Sangalo</t>
  </si>
  <si>
    <t>Jojo Todynho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</si>
</sst>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 indent="2"/>
    </xf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0" fillId="0" borderId="0" xfId="0" applyFont="1"/>
    <xf numFmtId="0" fontId="1" fillId="3" borderId="1" xfId="0" applyFont="1" applyFill="1" applyBorder="1" applyAlignment="1">
      <alignment horizontal="center"/>
    </xf>
    <xf numFmtId="0" fontId="5" fillId="0" borderId="0" xfId="0" applyFont="1"/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419100</xdr:colOff>
      <xdr:row>17</xdr:row>
      <xdr:rowOff>76200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847B06B-D504-886B-27D5-3B2D9425EA8C}"/>
            </a:ext>
          </a:extLst>
        </xdr:cNvPr>
        <xdr:cNvSpPr txBox="1"/>
      </xdr:nvSpPr>
      <xdr:spPr>
        <a:xfrm>
          <a:off x="10125075" y="2390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0</xdr:col>
      <xdr:colOff>209550</xdr:colOff>
      <xdr:row>0</xdr:row>
      <xdr:rowOff>314325</xdr:rowOff>
    </xdr:from>
    <xdr:ext cx="4486275" cy="1463041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D019612-883A-A9C4-27D7-5CF491838187}"/>
            </a:ext>
          </a:extLst>
        </xdr:cNvPr>
        <xdr:cNvSpPr txBox="1"/>
      </xdr:nvSpPr>
      <xdr:spPr>
        <a:xfrm>
          <a:off x="209550" y="314325"/>
          <a:ext cx="4486275" cy="14630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b="1"/>
            <a:t>Lógica Aplicada:</a:t>
          </a:r>
          <a:r>
            <a:rPr lang="pt-BR"/>
            <a:t> Utilização de ARRUMAR para remoção de espaços excedentes (higienização) aninhada com PRI.MAIÚSCULA para padronização da caixa de texto (capitalização).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b="1"/>
            <a:t>Legenda das Funções: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A3:</a:t>
          </a:r>
          <a:r>
            <a:rPr lang="pt-BR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Funções Utilizadas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B3:</a:t>
          </a:r>
          <a:r>
            <a:rPr lang="pt-BR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ARRUMAR (Remover espaços), PRI.MAIÚSCULA (Padronizar nomes), SUBSTITUIR (Criar e-mails)</a:t>
          </a:r>
          <a:r>
            <a:rPr lang="pt-BR"/>
            <a:t> </a:t>
          </a:r>
          <a:r>
            <a:rPr lang="pt-BR" b="1"/>
            <a:t> </a:t>
          </a:r>
        </a:p>
        <a:p>
          <a:endParaRPr lang="pt-BR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142874</xdr:colOff>
      <xdr:row>2</xdr:row>
      <xdr:rowOff>86676</xdr:rowOff>
    </xdr:from>
    <xdr:to>
      <xdr:col>4</xdr:col>
      <xdr:colOff>36195</xdr:colOff>
      <xdr:row>8</xdr:row>
      <xdr:rowOff>66675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780F281-7961-9D57-A78F-B872A29FEE1A}"/>
            </a:ext>
          </a:extLst>
        </xdr:cNvPr>
        <xdr:cNvSpPr txBox="1"/>
      </xdr:nvSpPr>
      <xdr:spPr>
        <a:xfrm>
          <a:off x="142874" y="534351"/>
          <a:ext cx="4170046" cy="10944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b="1"/>
            <a:t>Funções Utilizadas:</a:t>
          </a:r>
          <a:r>
            <a:rPr lang="pt-BR"/>
            <a:t> </a:t>
          </a:r>
          <a:r>
            <a:rPr lang="pt-BR" b="1"/>
            <a:t>ESQUERDA</a:t>
          </a:r>
          <a:r>
            <a:rPr lang="pt-BR"/>
            <a:t> (Extrair início), </a:t>
          </a:r>
          <a:r>
            <a:rPr lang="pt-BR" b="1"/>
            <a:t>DIREITA</a:t>
          </a:r>
          <a:r>
            <a:rPr lang="pt-BR"/>
            <a:t> (Extrair final), </a:t>
          </a:r>
          <a:r>
            <a:rPr lang="pt-BR" b="1"/>
            <a:t>LOCALIZAR</a:t>
          </a:r>
          <a:r>
            <a:rPr lang="pt-BR"/>
            <a:t> (Encontrar separadores), </a:t>
          </a:r>
          <a:r>
            <a:rPr lang="pt-BR" b="1"/>
            <a:t>NÚM.CARACT</a:t>
          </a:r>
          <a:r>
            <a:rPr lang="pt-BR"/>
            <a:t> (Contar tamanho total).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b="1"/>
            <a:t>Lógica Aplicada: </a:t>
          </a:r>
          <a:r>
            <a:rPr lang="pt-BR" b="0"/>
            <a:t>Utilização de LOCALIZAR para encontrar o espaço dinamicamente, combinado com ESQUERDA e DIREITA para extração variável.</a:t>
          </a:r>
        </a:p>
        <a:p>
          <a:endParaRPr lang="pt-BR" sz="1100"/>
        </a:p>
      </xdr:txBody>
    </xdr:sp>
    <xdr:clientData/>
  </xdr:twoCellAnchor>
  <xdr:twoCellAnchor>
    <xdr:from>
      <xdr:col>12</xdr:col>
      <xdr:colOff>209550</xdr:colOff>
      <xdr:row>25</xdr:row>
      <xdr:rowOff>104775</xdr:rowOff>
    </xdr:from>
    <xdr:to>
      <xdr:col>12</xdr:col>
      <xdr:colOff>400050</xdr:colOff>
      <xdr:row>25</xdr:row>
      <xdr:rowOff>150494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D781E6A-DD8B-9E09-734A-AEA1D2C7715A}"/>
            </a:ext>
          </a:extLst>
        </xdr:cNvPr>
        <xdr:cNvSpPr txBox="1"/>
      </xdr:nvSpPr>
      <xdr:spPr>
        <a:xfrm>
          <a:off x="9363075" y="3543300"/>
          <a:ext cx="190500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4635D-0C96-47F6-84B1-9BE7AE383874}">
  <dimension ref="A1:E20"/>
  <sheetViews>
    <sheetView showGridLines="0" workbookViewId="0">
      <selection activeCell="A20" sqref="A20"/>
    </sheetView>
  </sheetViews>
  <sheetFormatPr defaultRowHeight="14.4" x14ac:dyDescent="0.3"/>
  <cols>
    <col min="1" max="1" width="58.5546875" customWidth="1"/>
    <col min="2" max="2" width="35.109375" customWidth="1"/>
    <col min="3" max="3" width="30" customWidth="1"/>
  </cols>
  <sheetData>
    <row r="1" spans="1:3" ht="25.8" x14ac:dyDescent="0.5">
      <c r="A1" s="7" t="s">
        <v>8</v>
      </c>
    </row>
    <row r="2" spans="1:3" ht="25.8" x14ac:dyDescent="0.5">
      <c r="A2" s="7"/>
    </row>
    <row r="4" spans="1:3" x14ac:dyDescent="0.3">
      <c r="A4" s="1"/>
    </row>
    <row r="5" spans="1:3" x14ac:dyDescent="0.3">
      <c r="A5" s="8"/>
    </row>
    <row r="6" spans="1:3" x14ac:dyDescent="0.3">
      <c r="A6" s="1"/>
    </row>
    <row r="7" spans="1:3" x14ac:dyDescent="0.3">
      <c r="A7" s="1"/>
    </row>
    <row r="8" spans="1:3" x14ac:dyDescent="0.3">
      <c r="A8" s="1"/>
    </row>
    <row r="9" spans="1:3" x14ac:dyDescent="0.3">
      <c r="A9" s="1"/>
    </row>
    <row r="10" spans="1:3" x14ac:dyDescent="0.3">
      <c r="A10" s="1"/>
    </row>
    <row r="11" spans="1:3" x14ac:dyDescent="0.3">
      <c r="A11" s="6" t="s">
        <v>4</v>
      </c>
      <c r="B11" s="6" t="s">
        <v>0</v>
      </c>
      <c r="C11" s="6" t="s">
        <v>7</v>
      </c>
    </row>
    <row r="12" spans="1:3" x14ac:dyDescent="0.3">
      <c r="A12" s="2" t="s">
        <v>1</v>
      </c>
      <c r="B12" s="2" t="str">
        <f>PROPER(TRIM(A12))</f>
        <v>Ana Clara</v>
      </c>
      <c r="C12" s="5" t="str">
        <f>LOWER(SUBSTITUTE(B12, " ", ".")) &amp; "@empresa.com"</f>
        <v>ana.clara@empresa.com</v>
      </c>
    </row>
    <row r="13" spans="1:3" x14ac:dyDescent="0.3">
      <c r="A13" s="2" t="s">
        <v>2</v>
      </c>
      <c r="B13" s="2" t="str">
        <f t="shared" ref="B13:B16" si="0">PROPER(TRIM(A13))</f>
        <v>Carlos Almeida</v>
      </c>
      <c r="C13" s="5" t="str">
        <f t="shared" ref="C13:C16" si="1">LOWER(SUBSTITUTE(B13, " ", ".")) &amp; "@empresa.com"</f>
        <v>carlos.almeida@empresa.com</v>
      </c>
    </row>
    <row r="14" spans="1:3" x14ac:dyDescent="0.3">
      <c r="A14" s="2" t="s">
        <v>5</v>
      </c>
      <c r="B14" s="2" t="str">
        <f t="shared" si="0"/>
        <v>Pedro Souza</v>
      </c>
      <c r="C14" s="5" t="str">
        <f t="shared" si="1"/>
        <v>pedro.souza@empresa.com</v>
      </c>
    </row>
    <row r="15" spans="1:3" x14ac:dyDescent="0.3">
      <c r="A15" s="2" t="s">
        <v>6</v>
      </c>
      <c r="B15" s="2" t="str">
        <f t="shared" si="0"/>
        <v>Mariana</v>
      </c>
      <c r="C15" s="5" t="str">
        <f t="shared" si="1"/>
        <v>mariana@empresa.com</v>
      </c>
    </row>
    <row r="16" spans="1:3" x14ac:dyDescent="0.3">
      <c r="A16" s="2" t="s">
        <v>3</v>
      </c>
      <c r="B16" s="2" t="str">
        <f t="shared" si="0"/>
        <v>Joao Silva</v>
      </c>
      <c r="C16" s="5" t="str">
        <f t="shared" si="1"/>
        <v>joao.silva@empresa.com</v>
      </c>
    </row>
    <row r="20" spans="5:5" x14ac:dyDescent="0.3">
      <c r="E20" s="4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FCAF8-A23B-4F0A-BB53-F6E4E087FC0D}">
  <dimension ref="A2:C25"/>
  <sheetViews>
    <sheetView showGridLines="0" tabSelected="1" workbookViewId="0">
      <selection activeCell="B33" sqref="B33"/>
    </sheetView>
  </sheetViews>
  <sheetFormatPr defaultRowHeight="14.4" x14ac:dyDescent="0.3"/>
  <cols>
    <col min="1" max="2" width="17.88671875" customWidth="1"/>
    <col min="3" max="3" width="17.6640625" customWidth="1"/>
  </cols>
  <sheetData>
    <row r="2" spans="1:3" ht="21" x14ac:dyDescent="0.4">
      <c r="A2" s="10" t="s">
        <v>17</v>
      </c>
    </row>
    <row r="6" spans="1:3" ht="16.2" customHeight="1" x14ac:dyDescent="0.3"/>
    <row r="10" spans="1:3" x14ac:dyDescent="0.3">
      <c r="A10" s="6" t="s">
        <v>9</v>
      </c>
      <c r="B10" s="9" t="s">
        <v>10</v>
      </c>
      <c r="C10" s="9" t="s">
        <v>11</v>
      </c>
    </row>
    <row r="11" spans="1:3" x14ac:dyDescent="0.3">
      <c r="A11" s="2" t="s">
        <v>12</v>
      </c>
      <c r="B11" s="2" t="str">
        <f>LEFT(A11, SEARCH(" ", A11) - 1)</f>
        <v>Ana</v>
      </c>
      <c r="C11" s="2" t="str">
        <f>RIGHT(A11, LEN(A11) - SEARCH(" ", A11))</f>
        <v>Silva</v>
      </c>
    </row>
    <row r="12" spans="1:3" x14ac:dyDescent="0.3">
      <c r="A12" s="2" t="s">
        <v>13</v>
      </c>
      <c r="B12" s="2" t="str">
        <f t="shared" ref="B12:B25" si="0">LEFT(A12, SEARCH(" ", A12) - 1)</f>
        <v>Roberto</v>
      </c>
      <c r="C12" s="2" t="str">
        <f t="shared" ref="C12:C25" si="1">RIGHT(A12, LEN(A12) - SEARCH(" ", A12))</f>
        <v>Carlos</v>
      </c>
    </row>
    <row r="13" spans="1:3" x14ac:dyDescent="0.3">
      <c r="A13" s="2" t="s">
        <v>14</v>
      </c>
      <c r="B13" s="2" t="str">
        <f t="shared" si="0"/>
        <v>Jéssica</v>
      </c>
      <c r="C13" s="2" t="str">
        <f t="shared" si="1"/>
        <v>Rocha</v>
      </c>
    </row>
    <row r="14" spans="1:3" x14ac:dyDescent="0.3">
      <c r="A14" s="2" t="s">
        <v>15</v>
      </c>
      <c r="B14" s="2" t="str">
        <f t="shared" si="0"/>
        <v>Maria</v>
      </c>
      <c r="C14" s="2" t="str">
        <f t="shared" si="1"/>
        <v xml:space="preserve">Eduarda </v>
      </c>
    </row>
    <row r="15" spans="1:3" x14ac:dyDescent="0.3">
      <c r="A15" s="3" t="s">
        <v>16</v>
      </c>
      <c r="B15" s="2" t="str">
        <f t="shared" si="0"/>
        <v>Diego</v>
      </c>
      <c r="C15" s="2" t="str">
        <f t="shared" si="1"/>
        <v xml:space="preserve">Souza </v>
      </c>
    </row>
    <row r="16" spans="1:3" x14ac:dyDescent="0.3">
      <c r="A16" s="2" t="s">
        <v>18</v>
      </c>
      <c r="B16" s="2" t="str">
        <f t="shared" si="0"/>
        <v>Amanda</v>
      </c>
      <c r="C16" s="2" t="str">
        <f t="shared" si="1"/>
        <v>Nunes</v>
      </c>
    </row>
    <row r="17" spans="1:3" x14ac:dyDescent="0.3">
      <c r="A17" s="2" t="s">
        <v>19</v>
      </c>
      <c r="B17" s="2" t="str">
        <f t="shared" si="0"/>
        <v>Bruno</v>
      </c>
      <c r="C17" s="2" t="str">
        <f t="shared" si="1"/>
        <v>Mars</v>
      </c>
    </row>
    <row r="18" spans="1:3" x14ac:dyDescent="0.3">
      <c r="A18" s="11" t="s">
        <v>20</v>
      </c>
      <c r="B18" s="2" t="str">
        <f t="shared" si="0"/>
        <v>Camila</v>
      </c>
      <c r="C18" s="2" t="str">
        <f t="shared" si="1"/>
        <v>Queiroz</v>
      </c>
    </row>
    <row r="19" spans="1:3" x14ac:dyDescent="0.3">
      <c r="A19" s="2" t="s">
        <v>21</v>
      </c>
      <c r="B19" s="2" t="str">
        <f t="shared" si="0"/>
        <v>Daniel</v>
      </c>
      <c r="C19" s="2" t="str">
        <f t="shared" si="1"/>
        <v>Alves</v>
      </c>
    </row>
    <row r="20" spans="1:3" x14ac:dyDescent="0.3">
      <c r="A20" s="2" t="s">
        <v>22</v>
      </c>
      <c r="B20" s="2" t="str">
        <f t="shared" si="0"/>
        <v>Eliana</v>
      </c>
      <c r="C20" s="2" t="str">
        <f t="shared" si="1"/>
        <v>Michaelichen</v>
      </c>
    </row>
    <row r="21" spans="1:3" x14ac:dyDescent="0.3">
      <c r="A21" s="2" t="s">
        <v>23</v>
      </c>
      <c r="B21" s="2" t="str">
        <f t="shared" si="0"/>
        <v>Fabio</v>
      </c>
      <c r="C21" s="2" t="str">
        <f t="shared" si="1"/>
        <v>Porchat</v>
      </c>
    </row>
    <row r="22" spans="1:3" x14ac:dyDescent="0.3">
      <c r="A22" s="2" t="s">
        <v>24</v>
      </c>
      <c r="B22" s="2" t="str">
        <f t="shared" si="0"/>
        <v>Gabriela</v>
      </c>
      <c r="C22" s="2" t="str">
        <f t="shared" si="1"/>
        <v>Prioli</v>
      </c>
    </row>
    <row r="23" spans="1:3" x14ac:dyDescent="0.3">
      <c r="A23" s="2" t="s">
        <v>25</v>
      </c>
      <c r="B23" s="2" t="str">
        <f t="shared" si="0"/>
        <v>Hugo</v>
      </c>
      <c r="C23" s="2" t="str">
        <f t="shared" si="1"/>
        <v>Gloss</v>
      </c>
    </row>
    <row r="24" spans="1:3" x14ac:dyDescent="0.3">
      <c r="A24" s="2" t="s">
        <v>26</v>
      </c>
      <c r="B24" s="2" t="str">
        <f t="shared" si="0"/>
        <v>Ivete</v>
      </c>
      <c r="C24" s="2" t="str">
        <f t="shared" si="1"/>
        <v>Sangalo</v>
      </c>
    </row>
    <row r="25" spans="1:3" x14ac:dyDescent="0.3">
      <c r="A25" s="2" t="s">
        <v>27</v>
      </c>
      <c r="B25" s="2" t="str">
        <f t="shared" si="0"/>
        <v>Jojo</v>
      </c>
      <c r="C25" s="2" t="str">
        <f t="shared" si="1"/>
        <v>Todynho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Dia 11 - Limpeza de Dados.</vt:lpstr>
      <vt:lpstr>12_Extracao_Dinamica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jessic.jsc181@outlook.com</dc:creator>
  <cp:lastModifiedBy>jessic.jsc181@outlook.com</cp:lastModifiedBy>
  <dcterms:created xsi:type="dcterms:W3CDTF">2026-01-22T18:58:11Z</dcterms:created>
  <dcterms:modified xsi:type="dcterms:W3CDTF">2026-01-22T20:22:49Z</dcterms:modified>
</cp:coreProperties>
</file>