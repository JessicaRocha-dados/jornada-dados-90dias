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si\Downloads\"/>
    </mc:Choice>
  </mc:AlternateContent>
  <xr:revisionPtr revIDLastSave="0" documentId="8_{86EF3287-1DAB-45B0-89A1-8A4FD8B37774}" xr6:coauthVersionLast="47" xr6:coauthVersionMax="47" xr10:uidLastSave="{00000000-0000-0000-0000-000000000000}"/>
  <bookViews>
    <workbookView xWindow="-108" yWindow="-108" windowWidth="23256" windowHeight="12456" xr2:uid="{0AF1AC92-7EA7-4299-9D80-8CC65989B69C}"/>
  </bookViews>
  <sheets>
    <sheet name="Dia 10- E_OU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1" l="1"/>
  <c r="F8" i="1"/>
  <c r="F9" i="1"/>
  <c r="F10" i="1"/>
  <c r="F11" i="1"/>
  <c r="F12" i="1"/>
  <c r="F6" i="1"/>
  <c r="E6" i="1"/>
  <c r="E7" i="1"/>
  <c r="E8" i="1"/>
  <c r="E9" i="1"/>
  <c r="E10" i="1"/>
  <c r="E11" i="1"/>
  <c r="E12" i="1"/>
  <c r="D6" i="1"/>
  <c r="D7" i="1"/>
  <c r="D8" i="1"/>
  <c r="D9" i="1"/>
  <c r="D10" i="1"/>
  <c r="D11" i="1"/>
  <c r="D12" i="1"/>
  <c r="D5" i="1"/>
  <c r="E5" i="1"/>
  <c r="F5" i="1"/>
  <c r="F3" i="1"/>
  <c r="F4" i="1"/>
  <c r="F2" i="1"/>
  <c r="E3" i="1"/>
  <c r="E4" i="1"/>
  <c r="E2" i="1"/>
  <c r="D3" i="1"/>
  <c r="D4" i="1"/>
  <c r="D2" i="1"/>
</calcChain>
</file>

<file path=xl/sharedStrings.xml><?xml version="1.0" encoding="utf-8"?>
<sst xmlns="http://schemas.openxmlformats.org/spreadsheetml/2006/main" count="17" uniqueCount="17">
  <si>
    <t>Vendedor</t>
  </si>
  <si>
    <t>Status Bônus</t>
  </si>
  <si>
    <t>Carlos</t>
  </si>
  <si>
    <t>Bia</t>
  </si>
  <si>
    <t>Ana</t>
  </si>
  <si>
    <t>Pedro</t>
  </si>
  <si>
    <t xml:space="preserve"> Vendas R$</t>
  </si>
  <si>
    <t>Regra Flexível</t>
  </si>
  <si>
    <t>Medalha</t>
  </si>
  <si>
    <r>
      <rPr>
        <b/>
        <sz val="11"/>
        <color theme="0"/>
        <rFont val="Arial"/>
        <family val="2"/>
      </rPr>
      <t xml:space="preserve"> Novos clientes</t>
    </r>
    <r>
      <rPr>
        <sz val="11"/>
        <color theme="0"/>
        <rFont val="Calibri"/>
        <family val="2"/>
        <scheme val="minor"/>
      </rPr>
      <t xml:space="preserve"> </t>
    </r>
  </si>
  <si>
    <t>Maria</t>
  </si>
  <si>
    <t>Julia</t>
  </si>
  <si>
    <t>Fernanda</t>
  </si>
  <si>
    <t xml:space="preserve">Mariana </t>
  </si>
  <si>
    <t xml:space="preserve">Menezes </t>
  </si>
  <si>
    <t xml:space="preserve">Lucas </t>
  </si>
  <si>
    <t xml:space="preserve">Roberto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</si>
</sst>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&quot;R$&quot;\ #,##0.00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69" fontId="0" fillId="0" borderId="0" xfId="0" applyNumberFormat="1"/>
    <xf numFmtId="0" fontId="2" fillId="2" borderId="1" xfId="0" applyFont="1" applyFill="1" applyBorder="1" applyAlignment="1">
      <alignment horizontal="center"/>
    </xf>
    <xf numFmtId="169" fontId="2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9" fontId="0" fillId="0" borderId="1" xfId="0" applyNumberFormat="1" applyBorder="1" applyAlignment="1">
      <alignment horizontal="center"/>
    </xf>
    <xf numFmtId="0" fontId="0" fillId="0" borderId="2" xfId="0" applyFill="1" applyBorder="1" applyAlignment="1">
      <alignment horizontal="center"/>
    </xf>
    <xf numFmtId="169" fontId="0" fillId="0" borderId="2" xfId="0" applyNumberFormat="1" applyFill="1" applyBorder="1" applyAlignment="1">
      <alignment horizontal="center"/>
    </xf>
    <xf numFmtId="169" fontId="0" fillId="0" borderId="3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C3355-F30C-4364-B8F4-C35750D01209}">
  <dimension ref="A1:G13"/>
  <sheetViews>
    <sheetView tabSelected="1" workbookViewId="0">
      <selection activeCell="H3" sqref="H3"/>
    </sheetView>
  </sheetViews>
  <sheetFormatPr defaultRowHeight="14.4" x14ac:dyDescent="0.3"/>
  <cols>
    <col min="1" max="1" width="11" customWidth="1"/>
    <col min="2" max="2" width="12.44140625" customWidth="1"/>
    <col min="3" max="3" width="17.6640625" customWidth="1"/>
    <col min="4" max="4" width="16.5546875" customWidth="1"/>
    <col min="5" max="5" width="16.77734375" customWidth="1"/>
    <col min="6" max="6" width="18.33203125" customWidth="1"/>
  </cols>
  <sheetData>
    <row r="1" spans="1:7" x14ac:dyDescent="0.3">
      <c r="A1" s="3" t="s">
        <v>0</v>
      </c>
      <c r="B1" s="4" t="s">
        <v>6</v>
      </c>
      <c r="C1" s="5" t="s">
        <v>9</v>
      </c>
      <c r="D1" s="3" t="s">
        <v>1</v>
      </c>
      <c r="E1" s="3" t="s">
        <v>7</v>
      </c>
      <c r="F1" s="3" t="s">
        <v>8</v>
      </c>
    </row>
    <row r="2" spans="1:7" x14ac:dyDescent="0.3">
      <c r="A2" s="6" t="s">
        <v>2</v>
      </c>
      <c r="B2" s="7">
        <v>25000</v>
      </c>
      <c r="C2" s="6">
        <v>8</v>
      </c>
      <c r="D2" s="6" t="str">
        <f>IF(AND(B2&gt;=20000, C2&gt;=5), "Ganhou Bônus", "Sem Bônus")</f>
        <v>Ganhou Bônus</v>
      </c>
      <c r="E2" s="6" t="str">
        <f>IF(OR(B2&gt;=20000, C2&gt;=5), "Ganhou", "Não Ganhou")</f>
        <v>Ganhou</v>
      </c>
      <c r="F2" s="6" t="str">
        <f>IF(B2&gt;=20000, "Ouro", IF(B2&gt;=10000, "Prata", "Bronze"))</f>
        <v>Ouro</v>
      </c>
    </row>
    <row r="3" spans="1:7" x14ac:dyDescent="0.3">
      <c r="A3" s="6" t="s">
        <v>3</v>
      </c>
      <c r="B3" s="7">
        <v>15000</v>
      </c>
      <c r="C3" s="6">
        <v>8</v>
      </c>
      <c r="D3" s="6" t="str">
        <f t="shared" ref="D3:D12" si="0">IF(AND(B3&gt;=20000, C3&gt;=5), "Ganhou Bônus", "Sem Bônus")</f>
        <v>Sem Bônus</v>
      </c>
      <c r="E3" s="6" t="str">
        <f t="shared" ref="E3:E12" si="1">IF(OR(B3&gt;=20000, C3&gt;=5), "Ganhou", "Não Ganhou")</f>
        <v>Ganhou</v>
      </c>
      <c r="F3" s="6" t="str">
        <f t="shared" ref="F3:F12" si="2">IF(B3&gt;=20000, "Ouro", IF(B3&gt;=10000, "Prata", "Bronze"))</f>
        <v>Prata</v>
      </c>
      <c r="G3" s="1"/>
    </row>
    <row r="4" spans="1:7" x14ac:dyDescent="0.3">
      <c r="A4" s="6" t="s">
        <v>4</v>
      </c>
      <c r="B4" s="7">
        <v>30000</v>
      </c>
      <c r="C4" s="6">
        <v>2</v>
      </c>
      <c r="D4" s="6" t="str">
        <f t="shared" si="0"/>
        <v>Sem Bônus</v>
      </c>
      <c r="E4" s="6" t="str">
        <f t="shared" si="1"/>
        <v>Ganhou</v>
      </c>
      <c r="F4" s="6" t="str">
        <f t="shared" si="2"/>
        <v>Ouro</v>
      </c>
    </row>
    <row r="5" spans="1:7" x14ac:dyDescent="0.3">
      <c r="A5" s="6" t="s">
        <v>5</v>
      </c>
      <c r="B5" s="7">
        <v>20000</v>
      </c>
      <c r="C5" s="6">
        <v>5</v>
      </c>
      <c r="D5" s="6" t="str">
        <f t="shared" si="0"/>
        <v>Ganhou Bônus</v>
      </c>
      <c r="E5" s="6" t="str">
        <f t="shared" si="1"/>
        <v>Ganhou</v>
      </c>
      <c r="F5" s="6" t="str">
        <f t="shared" si="2"/>
        <v>Ouro</v>
      </c>
    </row>
    <row r="6" spans="1:7" x14ac:dyDescent="0.3">
      <c r="A6" s="8" t="s">
        <v>10</v>
      </c>
      <c r="B6" s="9">
        <v>8000</v>
      </c>
      <c r="C6" s="6">
        <v>10</v>
      </c>
      <c r="D6" s="6" t="str">
        <f t="shared" si="0"/>
        <v>Sem Bônus</v>
      </c>
      <c r="E6" s="6" t="str">
        <f t="shared" si="1"/>
        <v>Ganhou</v>
      </c>
      <c r="F6" s="11" t="str">
        <f t="shared" si="2"/>
        <v>Bronze</v>
      </c>
    </row>
    <row r="7" spans="1:7" x14ac:dyDescent="0.3">
      <c r="A7" s="8" t="s">
        <v>11</v>
      </c>
      <c r="B7" s="9">
        <v>12000</v>
      </c>
      <c r="C7" s="6">
        <v>10</v>
      </c>
      <c r="D7" s="6" t="str">
        <f t="shared" si="0"/>
        <v>Sem Bônus</v>
      </c>
      <c r="E7" s="6" t="str">
        <f t="shared" si="1"/>
        <v>Ganhou</v>
      </c>
      <c r="F7" s="11" t="str">
        <f t="shared" si="2"/>
        <v>Prata</v>
      </c>
    </row>
    <row r="8" spans="1:7" x14ac:dyDescent="0.3">
      <c r="A8" s="8" t="s">
        <v>12</v>
      </c>
      <c r="B8" s="9">
        <v>22000</v>
      </c>
      <c r="C8" s="6">
        <v>2</v>
      </c>
      <c r="D8" s="6" t="str">
        <f t="shared" si="0"/>
        <v>Sem Bônus</v>
      </c>
      <c r="E8" s="6" t="str">
        <f t="shared" si="1"/>
        <v>Ganhou</v>
      </c>
      <c r="F8" s="11" t="str">
        <f t="shared" si="2"/>
        <v>Ouro</v>
      </c>
    </row>
    <row r="9" spans="1:7" x14ac:dyDescent="0.3">
      <c r="A9" s="8" t="s">
        <v>13</v>
      </c>
      <c r="B9" s="2">
        <v>50000</v>
      </c>
      <c r="C9" s="6">
        <v>5</v>
      </c>
      <c r="D9" s="6" t="str">
        <f t="shared" si="0"/>
        <v>Ganhou Bônus</v>
      </c>
      <c r="E9" s="6" t="str">
        <f t="shared" si="1"/>
        <v>Ganhou</v>
      </c>
      <c r="F9" s="11" t="str">
        <f t="shared" si="2"/>
        <v>Ouro</v>
      </c>
    </row>
    <row r="10" spans="1:7" x14ac:dyDescent="0.3">
      <c r="A10" s="8" t="s">
        <v>14</v>
      </c>
      <c r="B10" s="2">
        <v>19990</v>
      </c>
      <c r="C10" s="6">
        <v>8</v>
      </c>
      <c r="D10" s="6" t="str">
        <f t="shared" si="0"/>
        <v>Sem Bônus</v>
      </c>
      <c r="E10" s="6" t="str">
        <f t="shared" si="1"/>
        <v>Ganhou</v>
      </c>
      <c r="F10" s="11" t="str">
        <f t="shared" si="2"/>
        <v>Prata</v>
      </c>
    </row>
    <row r="11" spans="1:7" x14ac:dyDescent="0.3">
      <c r="A11" s="8" t="s">
        <v>15</v>
      </c>
      <c r="B11" s="10">
        <v>220000</v>
      </c>
      <c r="C11" s="6">
        <v>4</v>
      </c>
      <c r="D11" s="6" t="str">
        <f t="shared" si="0"/>
        <v>Sem Bônus</v>
      </c>
      <c r="E11" s="6" t="str">
        <f t="shared" si="1"/>
        <v>Ganhou</v>
      </c>
      <c r="F11" s="11" t="str">
        <f t="shared" si="2"/>
        <v>Ouro</v>
      </c>
    </row>
    <row r="12" spans="1:7" x14ac:dyDescent="0.3">
      <c r="A12" s="8" t="s">
        <v>16</v>
      </c>
      <c r="B12" s="10">
        <v>85000</v>
      </c>
      <c r="C12" s="6">
        <v>7</v>
      </c>
      <c r="D12" s="6" t="str">
        <f t="shared" si="0"/>
        <v>Ganhou Bônus</v>
      </c>
      <c r="E12" s="6" t="str">
        <f t="shared" si="1"/>
        <v>Ganhou</v>
      </c>
      <c r="F12" s="11" t="str">
        <f t="shared" si="2"/>
        <v>Ouro</v>
      </c>
    </row>
    <row r="13" spans="1:7" x14ac:dyDescent="0.3">
      <c r="B13" s="2"/>
    </row>
  </sheetData>
  <conditionalFormatting sqref="F1:F12">
    <cfRule type="containsText" dxfId="2" priority="2" operator="containsText" text="Ouro">
      <formula>NOT(ISERROR(SEARCH("Ouro",F1)))</formula>
    </cfRule>
  </conditionalFormatting>
  <conditionalFormatting sqref="F1:F12">
    <cfRule type="containsText" dxfId="0" priority="1" operator="containsText" text="Bronze">
      <formula>NOT(ISERROR(SEARCH("Bronze",F1)))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Dia 10- E_OU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jessic.jsc181@outlook.com</dc:creator>
  <cp:lastModifiedBy>jessic.jsc181@outlook.com</cp:lastModifiedBy>
  <dcterms:created xsi:type="dcterms:W3CDTF">2026-01-21T18:22:51Z</dcterms:created>
  <dcterms:modified xsi:type="dcterms:W3CDTF">2026-01-21T19:07:06Z</dcterms:modified>
</cp:coreProperties>
</file>