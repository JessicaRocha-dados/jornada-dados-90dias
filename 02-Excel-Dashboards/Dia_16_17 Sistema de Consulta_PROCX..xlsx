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C58EBEAE-8886-4A2D-BC55-F95AB160AF5F}" xr6:coauthVersionLast="47" xr6:coauthVersionMax="47" xr10:uidLastSave="{00000000-0000-0000-0000-000000000000}"/>
  <bookViews>
    <workbookView xWindow="-120" yWindow="-16320" windowWidth="29040" windowHeight="15720" xr2:uid="{C28BC62A-417B-44FF-ACC7-5878A247E8EF}"/>
  </bookViews>
  <sheets>
    <sheet name="Sistema de Consulta Dias16_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I23" i="1"/>
  <c r="I24" i="1"/>
  <c r="I25" i="1"/>
  <c r="I26" i="1"/>
  <c r="I27" i="1"/>
  <c r="I28" i="1"/>
  <c r="I29" i="1"/>
  <c r="I30" i="1"/>
  <c r="H22" i="1"/>
  <c r="H23" i="1"/>
  <c r="H24" i="1"/>
  <c r="H25" i="1"/>
  <c r="H26" i="1"/>
  <c r="H27" i="1"/>
  <c r="H28" i="1"/>
  <c r="H29" i="1"/>
  <c r="H30" i="1"/>
  <c r="I14" i="1"/>
  <c r="I15" i="1"/>
  <c r="I16" i="1"/>
  <c r="I17" i="1"/>
  <c r="I18" i="1"/>
  <c r="I19" i="1"/>
  <c r="I20" i="1"/>
  <c r="I21" i="1"/>
  <c r="I13" i="1"/>
  <c r="H14" i="1"/>
  <c r="H15" i="1"/>
  <c r="H16" i="1"/>
  <c r="H17" i="1"/>
  <c r="H18" i="1"/>
  <c r="H19" i="1"/>
  <c r="H20" i="1"/>
  <c r="H21" i="1"/>
  <c r="H13" i="1"/>
</calcChain>
</file>

<file path=xl/sharedStrings.xml><?xml version="1.0" encoding="utf-8"?>
<sst xmlns="http://schemas.openxmlformats.org/spreadsheetml/2006/main" count="47" uniqueCount="34">
  <si>
    <t>ID</t>
  </si>
  <si>
    <t>NOME</t>
  </si>
  <si>
    <t>SETOR</t>
  </si>
  <si>
    <t>SALÁRIO</t>
  </si>
  <si>
    <t>Ana Silva</t>
  </si>
  <si>
    <t>Carlos Souza</t>
  </si>
  <si>
    <t>Beatriz Lima</t>
  </si>
  <si>
    <t>Vendas</t>
  </si>
  <si>
    <t>TI</t>
  </si>
  <si>
    <t>RH</t>
  </si>
  <si>
    <t>Fernanda Oliveira</t>
  </si>
  <si>
    <t>João Mendes</t>
  </si>
  <si>
    <t>Ricardo Santos</t>
  </si>
  <si>
    <t>Juliana Costa</t>
  </si>
  <si>
    <t>Pedro Alves</t>
  </si>
  <si>
    <t>Mariana Dias</t>
  </si>
  <si>
    <t>Lucas Pereira</t>
  </si>
  <si>
    <t>Gabriela Rocha</t>
  </si>
  <si>
    <t>Bruno Martins</t>
  </si>
  <si>
    <t>Camila Nunes</t>
  </si>
  <si>
    <t>Rafael Lima</t>
  </si>
  <si>
    <t>Patrícia Gomes</t>
  </si>
  <si>
    <t>Tiago Barbosa</t>
  </si>
  <si>
    <t>Marketing</t>
  </si>
  <si>
    <t>Financeiro</t>
  </si>
  <si>
    <t>Logística</t>
  </si>
  <si>
    <t>Jurídico</t>
  </si>
  <si>
    <t>BUSCA NOME</t>
  </si>
  <si>
    <t>SETOR (Direita)</t>
  </si>
  <si>
    <t>ID (Esquerda)</t>
  </si>
  <si>
    <t>Ana silva</t>
  </si>
  <si>
    <t>João mendes</t>
  </si>
  <si>
    <t>Jennifer Vianna</t>
  </si>
  <si>
    <t>Juliana 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</si>
</sst>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100965</xdr:rowOff>
    </xdr:from>
    <xdr:ext cx="8153400" cy="1815465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1BE4EBB-6821-D823-E601-4BB9D325C086}"/>
            </a:ext>
          </a:extLst>
        </xdr:cNvPr>
        <xdr:cNvSpPr txBox="1"/>
      </xdr:nvSpPr>
      <xdr:spPr>
        <a:xfrm>
          <a:off x="571500" y="100965"/>
          <a:ext cx="8153400" cy="1815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400" b="1">
              <a:latin typeface="Arial Black" panose="020B0A04020102020204" pitchFamily="34" charset="0"/>
            </a:rPr>
            <a:t>Dashboard de Busca Inteligente (XLOOKUP)</a:t>
          </a:r>
        </a:p>
        <a:p>
          <a:endParaRPr lang="pt-BR" b="1"/>
        </a:p>
        <a:p>
          <a:r>
            <a:rPr lang="pt-BR" b="1"/>
            <a:t>Resumo do Projeto:</a:t>
          </a:r>
          <a:r>
            <a:rPr lang="pt-BR"/>
            <a:t> Desenvolvimento de um sistema de consulta de dados utilizando a moderna função </a:t>
          </a:r>
          <a:r>
            <a:rPr lang="pt-BR" b="1"/>
            <a:t>PROCX (XLOOKUP)</a:t>
          </a:r>
          <a:r>
            <a:rPr lang="pt-BR"/>
            <a:t> do Excel. O projeto supera as limitações do antigo PROCV ao implementar:</a:t>
          </a:r>
        </a:p>
        <a:p>
          <a:r>
            <a:rPr lang="pt-BR" b="1"/>
            <a:t>Busca Bidirecional:</a:t>
          </a:r>
          <a:r>
            <a:rPr lang="pt-BR"/>
            <a:t> Capacidade de buscar dados à esquerda (ID) e à direita (Setor) da chave de pesquisa.</a:t>
          </a:r>
        </a:p>
        <a:p>
          <a:r>
            <a:rPr lang="pt-BR" b="1"/>
            <a:t>Blindagem de Erros:</a:t>
          </a:r>
          <a:r>
            <a:rPr lang="pt-BR"/>
            <a:t> Tratamento nativo para nomes não encontrados ("Não Cadastrado") sem necessidade de funções auxiliares.</a:t>
          </a:r>
        </a:p>
        <a:p>
          <a:r>
            <a:rPr lang="pt-BR" b="1"/>
            <a:t>Limpeza Lógica:</a:t>
          </a:r>
          <a:r>
            <a:rPr lang="pt-BR"/>
            <a:t> Combinação com a função </a:t>
          </a:r>
          <a:r>
            <a:rPr lang="pt-BR" b="1"/>
            <a:t>SE</a:t>
          </a:r>
          <a:r>
            <a:rPr lang="pt-BR"/>
            <a:t> para tratamento de células vazias, garantindo um visual limpo e profissional.</a:t>
          </a:r>
        </a:p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70F1-446C-44FB-86FF-32C07DCCF925}">
  <dimension ref="B12:I30"/>
  <sheetViews>
    <sheetView showGridLines="0" tabSelected="1" workbookViewId="0">
      <selection activeCell="C36" sqref="C36"/>
    </sheetView>
  </sheetViews>
  <sheetFormatPr defaultRowHeight="14.4" x14ac:dyDescent="0.3"/>
  <cols>
    <col min="3" max="3" width="20.88671875" customWidth="1"/>
    <col min="4" max="4" width="11.5546875" customWidth="1"/>
    <col min="5" max="5" width="14" customWidth="1"/>
    <col min="7" max="7" width="18.109375" customWidth="1"/>
    <col min="8" max="8" width="18.44140625" customWidth="1"/>
    <col min="9" max="9" width="17.77734375" customWidth="1"/>
  </cols>
  <sheetData>
    <row r="12" spans="2:9" x14ac:dyDescent="0.3">
      <c r="B12" s="4" t="s">
        <v>0</v>
      </c>
      <c r="C12" s="4" t="s">
        <v>1</v>
      </c>
      <c r="D12" s="4" t="s">
        <v>2</v>
      </c>
      <c r="E12" s="4" t="s">
        <v>3</v>
      </c>
      <c r="G12" s="4" t="s">
        <v>27</v>
      </c>
      <c r="H12" s="4" t="s">
        <v>28</v>
      </c>
      <c r="I12" s="4" t="s">
        <v>29</v>
      </c>
    </row>
    <row r="13" spans="2:9" x14ac:dyDescent="0.3">
      <c r="B13" s="1">
        <v>1045</v>
      </c>
      <c r="C13" s="1" t="s">
        <v>4</v>
      </c>
      <c r="D13" s="1" t="s">
        <v>7</v>
      </c>
      <c r="E13" s="2">
        <v>3500</v>
      </c>
      <c r="G13" s="5" t="s">
        <v>30</v>
      </c>
      <c r="H13" s="6" t="str">
        <f>IF(G13="", "", _xlfn.XLOOKUP(G13, C:C, D:D, "Não Cadastrado"))</f>
        <v>Vendas</v>
      </c>
      <c r="I13" s="1">
        <f>IF(G13="", "", _xlfn.XLOOKUP(G13, C:C, B:B, "Não Cadastrado"))</f>
        <v>1045</v>
      </c>
    </row>
    <row r="14" spans="2:9" x14ac:dyDescent="0.3">
      <c r="B14" s="1">
        <v>1046</v>
      </c>
      <c r="C14" s="1" t="s">
        <v>5</v>
      </c>
      <c r="D14" s="1" t="s">
        <v>8</v>
      </c>
      <c r="E14" s="2">
        <v>5200</v>
      </c>
      <c r="G14" s="5" t="s">
        <v>31</v>
      </c>
      <c r="H14" s="6" t="str">
        <f>IF(G14="", "", _xlfn.XLOOKUP(G14, C:C, D:D, "Não Cadastrado"))</f>
        <v>Vendas</v>
      </c>
      <c r="I14" s="1">
        <f>IF(G14="", "", _xlfn.XLOOKUP(G14, C:C, B:B, "Não Cadastrado"))</f>
        <v>1048</v>
      </c>
    </row>
    <row r="15" spans="2:9" x14ac:dyDescent="0.3">
      <c r="B15" s="1">
        <v>1047</v>
      </c>
      <c r="C15" s="1" t="s">
        <v>6</v>
      </c>
      <c r="D15" s="1" t="s">
        <v>9</v>
      </c>
      <c r="E15" s="2">
        <v>4100</v>
      </c>
      <c r="G15" s="5" t="s">
        <v>16</v>
      </c>
      <c r="H15" s="6" t="str">
        <f>IF(G15="", "", _xlfn.XLOOKUP(G15, C:C, D:D, "Não Cadastrado"))</f>
        <v>Vendas</v>
      </c>
      <c r="I15" s="1">
        <f>IF(G15="", "", _xlfn.XLOOKUP(G15, C:C, B:B, "Não Cadastrado"))</f>
        <v>1054</v>
      </c>
    </row>
    <row r="16" spans="2:9" x14ac:dyDescent="0.3">
      <c r="B16" s="1">
        <v>1048</v>
      </c>
      <c r="C16" s="1" t="s">
        <v>11</v>
      </c>
      <c r="D16" s="1" t="s">
        <v>7</v>
      </c>
      <c r="E16" s="2">
        <v>3200</v>
      </c>
      <c r="G16" s="5" t="s">
        <v>31</v>
      </c>
      <c r="H16" s="6" t="str">
        <f>IF(G16="", "", _xlfn.XLOOKUP(G16, C:C, D:D, "Não Cadastrado"))</f>
        <v>Vendas</v>
      </c>
      <c r="I16" s="1">
        <f>IF(G16="", "", _xlfn.XLOOKUP(G16, C:C, B:B, "Não Cadastrado"))</f>
        <v>1048</v>
      </c>
    </row>
    <row r="17" spans="2:9" x14ac:dyDescent="0.3">
      <c r="B17" s="1">
        <v>1049</v>
      </c>
      <c r="C17" s="1" t="s">
        <v>10</v>
      </c>
      <c r="D17" s="1" t="s">
        <v>23</v>
      </c>
      <c r="E17" s="2">
        <v>3400</v>
      </c>
      <c r="G17" s="5" t="s">
        <v>33</v>
      </c>
      <c r="H17" s="6" t="str">
        <f>IF(G17="", "", _xlfn.XLOOKUP(G17, C:C, D:D, "Não Cadastrado"))</f>
        <v>Não Cadastrado</v>
      </c>
      <c r="I17" s="1" t="str">
        <f>IF(G17="", "", _xlfn.XLOOKUP(G17, C:C, B:B, "Não Cadastrado"))</f>
        <v>Não Cadastrado</v>
      </c>
    </row>
    <row r="18" spans="2:9" x14ac:dyDescent="0.3">
      <c r="B18" s="1">
        <v>1050</v>
      </c>
      <c r="C18" s="1" t="s">
        <v>12</v>
      </c>
      <c r="D18" s="1" t="s">
        <v>24</v>
      </c>
      <c r="E18" s="2">
        <v>4700</v>
      </c>
      <c r="G18" s="5" t="s">
        <v>32</v>
      </c>
      <c r="H18" s="6" t="str">
        <f>IF(G18="", "", _xlfn.XLOOKUP(G18, C:C, D:D, "Não Cadastrado"))</f>
        <v>Não Cadastrado</v>
      </c>
      <c r="I18" s="1" t="str">
        <f>IF(G18="", "", _xlfn.XLOOKUP(G18, C:C, B:B, "Não Cadastrado"))</f>
        <v>Não Cadastrado</v>
      </c>
    </row>
    <row r="19" spans="2:9" x14ac:dyDescent="0.3">
      <c r="B19" s="1">
        <v>1051</v>
      </c>
      <c r="C19" s="1" t="s">
        <v>13</v>
      </c>
      <c r="D19" s="1" t="s">
        <v>8</v>
      </c>
      <c r="E19" s="2">
        <v>5100</v>
      </c>
      <c r="G19" s="5" t="s">
        <v>15</v>
      </c>
      <c r="H19" s="6" t="str">
        <f>IF(G19="", "", _xlfn.XLOOKUP(G19, C:C, D:D, "Não Cadastrado"))</f>
        <v>RH</v>
      </c>
      <c r="I19" s="1">
        <f>IF(G19="", "", _xlfn.XLOOKUP(G19, C:C, B:B, "Não Cadastrado"))</f>
        <v>1053</v>
      </c>
    </row>
    <row r="20" spans="2:9" x14ac:dyDescent="0.3">
      <c r="B20" s="1">
        <v>1052</v>
      </c>
      <c r="C20" s="1" t="s">
        <v>14</v>
      </c>
      <c r="D20" s="1" t="s">
        <v>25</v>
      </c>
      <c r="E20" s="2">
        <v>5800</v>
      </c>
      <c r="G20" s="5" t="s">
        <v>20</v>
      </c>
      <c r="H20" s="6" t="str">
        <f>IF(G20="", "", _xlfn.XLOOKUP(G20, C:C, D:D, "Não Cadastrado"))</f>
        <v>Logística</v>
      </c>
      <c r="I20" s="1">
        <f>IF(G20="", "", _xlfn.XLOOKUP(G20, C:C, B:B, "Não Cadastrado"))</f>
        <v>1058</v>
      </c>
    </row>
    <row r="21" spans="2:9" x14ac:dyDescent="0.3">
      <c r="B21" s="1">
        <v>1053</v>
      </c>
      <c r="C21" s="1" t="s">
        <v>15</v>
      </c>
      <c r="D21" s="1" t="s">
        <v>9</v>
      </c>
      <c r="E21" s="2">
        <v>3000</v>
      </c>
      <c r="G21" s="7"/>
      <c r="H21" s="6" t="str">
        <f>IF(G21="", "", _xlfn.XLOOKUP(G21, C:C, D:D, "Não Cadastrado"))</f>
        <v/>
      </c>
      <c r="I21" s="1" t="str">
        <f>IF(G21="", "", _xlfn.XLOOKUP(G21, C:C, B:B, "Não Cadastrado"))</f>
        <v/>
      </c>
    </row>
    <row r="22" spans="2:9" x14ac:dyDescent="0.3">
      <c r="B22" s="1">
        <v>1054</v>
      </c>
      <c r="C22" s="1" t="s">
        <v>16</v>
      </c>
      <c r="D22" s="1" t="s">
        <v>7</v>
      </c>
      <c r="E22" s="2">
        <v>3700</v>
      </c>
      <c r="G22" s="7"/>
      <c r="H22" s="6" t="str">
        <f>IF(G22="", "", _xlfn.XLOOKUP(G22, C:C, D:D, "Não Cadastrado"))</f>
        <v/>
      </c>
      <c r="I22" s="1" t="str">
        <f>IF(G22="", "", _xlfn.XLOOKUP(G22, C:C, B:B, "Não Cadastrado"))</f>
        <v/>
      </c>
    </row>
    <row r="23" spans="2:9" x14ac:dyDescent="0.3">
      <c r="B23" s="1">
        <v>1055</v>
      </c>
      <c r="C23" s="1" t="s">
        <v>17</v>
      </c>
      <c r="D23" s="1" t="s">
        <v>23</v>
      </c>
      <c r="E23" s="2">
        <v>3000</v>
      </c>
      <c r="G23" s="7"/>
      <c r="H23" s="6" t="str">
        <f>IF(G23="", "", _xlfn.XLOOKUP(G23, C:C, D:D, "Não Cadastrado"))</f>
        <v/>
      </c>
      <c r="I23" s="1" t="str">
        <f>IF(G23="", "", _xlfn.XLOOKUP(G23, C:C, B:B, "Não Cadastrado"))</f>
        <v/>
      </c>
    </row>
    <row r="24" spans="2:9" x14ac:dyDescent="0.3">
      <c r="B24" s="1">
        <v>1056</v>
      </c>
      <c r="C24" s="1" t="s">
        <v>18</v>
      </c>
      <c r="D24" s="1" t="s">
        <v>8</v>
      </c>
      <c r="E24" s="2">
        <v>8000</v>
      </c>
      <c r="G24" s="7"/>
      <c r="H24" s="6" t="str">
        <f>IF(G24="", "", _xlfn.XLOOKUP(G24, C:C, D:D, "Não Cadastrado"))</f>
        <v/>
      </c>
      <c r="I24" s="1" t="str">
        <f>IF(G24="", "", _xlfn.XLOOKUP(G24, C:C, B:B, "Não Cadastrado"))</f>
        <v/>
      </c>
    </row>
    <row r="25" spans="2:9" x14ac:dyDescent="0.3">
      <c r="B25" s="1">
        <v>1057</v>
      </c>
      <c r="C25" s="1" t="s">
        <v>19</v>
      </c>
      <c r="D25" s="1" t="s">
        <v>24</v>
      </c>
      <c r="E25" s="2">
        <v>4800</v>
      </c>
      <c r="G25" s="7"/>
      <c r="H25" s="6" t="str">
        <f>IF(G25="", "", _xlfn.XLOOKUP(G25, C:C, D:D, "Não Cadastrado"))</f>
        <v/>
      </c>
      <c r="I25" s="1" t="str">
        <f>IF(G25="", "", _xlfn.XLOOKUP(G25, C:C, B:B, "Não Cadastrado"))</f>
        <v/>
      </c>
    </row>
    <row r="26" spans="2:9" x14ac:dyDescent="0.3">
      <c r="B26" s="1">
        <v>1058</v>
      </c>
      <c r="C26" s="1" t="s">
        <v>20</v>
      </c>
      <c r="D26" s="1" t="s">
        <v>25</v>
      </c>
      <c r="E26" s="2">
        <v>4600</v>
      </c>
      <c r="G26" s="7"/>
      <c r="H26" s="6" t="str">
        <f>IF(G26="", "", _xlfn.XLOOKUP(G26, C:C, D:D, "Não Cadastrado"))</f>
        <v/>
      </c>
      <c r="I26" s="1" t="str">
        <f>IF(G26="", "", _xlfn.XLOOKUP(G26, C:C, B:B, "Não Cadastrado"))</f>
        <v/>
      </c>
    </row>
    <row r="27" spans="2:9" x14ac:dyDescent="0.3">
      <c r="B27" s="1">
        <v>1059</v>
      </c>
      <c r="C27" s="1" t="s">
        <v>21</v>
      </c>
      <c r="D27" s="1" t="s">
        <v>7</v>
      </c>
      <c r="E27" s="2">
        <v>3700</v>
      </c>
      <c r="G27" s="7"/>
      <c r="H27" s="6" t="str">
        <f>IF(G27="", "", _xlfn.XLOOKUP(G27, C:C, D:D, "Não Cadastrado"))</f>
        <v/>
      </c>
      <c r="I27" s="1" t="str">
        <f>IF(G27="", "", _xlfn.XLOOKUP(G27, C:C, B:B, "Não Cadastrado"))</f>
        <v/>
      </c>
    </row>
    <row r="28" spans="2:9" x14ac:dyDescent="0.3">
      <c r="B28" s="1">
        <v>1060</v>
      </c>
      <c r="C28" s="1" t="s">
        <v>22</v>
      </c>
      <c r="D28" s="1" t="s">
        <v>26</v>
      </c>
      <c r="E28" s="2">
        <v>7200</v>
      </c>
      <c r="G28" s="7"/>
      <c r="H28" s="6" t="str">
        <f>IF(G28="", "", _xlfn.XLOOKUP(G28, C:C, D:D, "Não Cadastrado"))</f>
        <v/>
      </c>
      <c r="I28" s="1" t="str">
        <f>IF(G28="", "", _xlfn.XLOOKUP(G28, C:C, B:B, "Não Cadastrado"))</f>
        <v/>
      </c>
    </row>
    <row r="29" spans="2:9" x14ac:dyDescent="0.3">
      <c r="B29" s="3"/>
      <c r="C29" s="3"/>
      <c r="D29" s="3"/>
      <c r="E29" s="3"/>
      <c r="G29" s="7"/>
      <c r="H29" s="6" t="str">
        <f>IF(G29="", "", _xlfn.XLOOKUP(G29, C:C, D:D, "Não Cadastrado"))</f>
        <v/>
      </c>
      <c r="I29" s="1" t="str">
        <f>IF(G29="", "", _xlfn.XLOOKUP(G29, C:C, B:B, "Não Cadastrado"))</f>
        <v/>
      </c>
    </row>
    <row r="30" spans="2:9" x14ac:dyDescent="0.3">
      <c r="B30" s="3"/>
      <c r="C30" s="3"/>
      <c r="D30" s="3"/>
      <c r="E30" s="3"/>
      <c r="G30" s="7"/>
      <c r="H30" s="6" t="str">
        <f>IF(G30="", "", _xlfn.XLOOKUP(G30, C:C, D:D, "Não Cadastrado"))</f>
        <v/>
      </c>
      <c r="I30" s="1" t="str">
        <f>IF(G30="", "", _xlfn.XLOOKUP(G30, C:C, B:B, "Não Cadastrado"))</f>
        <v/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Sistema de Consulta Dias16_17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2026-02-02T19:11:51Z</dcterms:created>
  <dcterms:modified xsi:type="dcterms:W3CDTF">2026-02-02T20:00:15Z</dcterms:modified>
</cp:coreProperties>
</file>